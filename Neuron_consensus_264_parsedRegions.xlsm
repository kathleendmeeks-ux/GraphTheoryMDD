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4D1C537B-E38A-612A-F078-A93A15B4B7F4}"/>
  <workbookPr date1904="1" showInkAnnotation="0" codeName="ThisWorkbook" autoCompressPictures="0"/>
  <mc:AlternateContent xmlns:mc="http://schemas.openxmlformats.org/markup-compatibility/2006">
    <mc:Choice Requires="x15">
      <x15ac:absPath xmlns:x15ac="http://schemas.microsoft.com/office/spreadsheetml/2010/11/ac" url="https://pennstateoffice365.sharepoint.com/sites/b-geierlab/Shared Documents/Box Migration Data/b-geierlab Shared/Anhedonia/Cleaning&amp;Analysis/Cleaning_for_R/"/>
    </mc:Choice>
  </mc:AlternateContent>
  <xr:revisionPtr revIDLastSave="0" documentId="8_{D180DEE3-4505-432F-B770-2B92AE6BFAE1}" xr6:coauthVersionLast="47" xr6:coauthVersionMax="47" xr10:uidLastSave="{00000000-0000-0000-0000-000000000000}"/>
  <bookViews>
    <workbookView xWindow="150" yWindow="270" windowWidth="27330" windowHeight="14250" tabRatio="500" activeTab="1" xr2:uid="{00000000-000D-0000-FFFF-FFFF00000000}"/>
  </bookViews>
  <sheets>
    <sheet name="264 ROIs" sheetId="1" r:id="rId1"/>
    <sheet name="Sheet1" sheetId="2" r:id="rId2"/>
  </sheets>
  <functionGroups builtInGroupCount="19"/>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http://schemas.microsoft.com/office/mac/excel/2008/main">
      <mx:ArchID Flags="2"/>
    </ext>
  </extLst>
</workbook>
</file>

<file path=xl/calcChain.xml><?xml version="1.0" encoding="utf-8"?>
<calcChain xmlns="http://schemas.openxmlformats.org/spreadsheetml/2006/main">
  <c r="F18" i="2" l="1"/>
  <c r="G18" i="2" s="1"/>
  <c r="F34" i="2"/>
  <c r="G34" i="2" s="1"/>
  <c r="F50" i="2"/>
  <c r="G50" i="2" s="1"/>
  <c r="F66" i="2"/>
  <c r="G66" i="2" s="1"/>
  <c r="F82" i="2"/>
  <c r="G82" i="2" s="1"/>
  <c r="F98" i="2"/>
  <c r="G98" i="2" s="1"/>
  <c r="F114" i="2"/>
  <c r="G114" i="2" s="1"/>
  <c r="F130" i="2"/>
  <c r="G130" i="2" s="1"/>
  <c r="F146" i="2"/>
  <c r="G146" i="2" s="1"/>
  <c r="F162" i="2"/>
  <c r="G162" i="2" s="1"/>
  <c r="F178" i="2"/>
  <c r="G178" i="2" s="1"/>
  <c r="F194" i="2"/>
  <c r="G194" i="2" s="1"/>
  <c r="F210" i="2"/>
  <c r="G210" i="2" s="1"/>
  <c r="F226" i="2"/>
  <c r="G226" i="2" s="1"/>
  <c r="F242" i="2"/>
  <c r="G242" i="2" s="1"/>
  <c r="F258" i="2"/>
  <c r="G258" i="2" s="1"/>
  <c r="E3" i="2"/>
  <c r="F3" i="2" s="1"/>
  <c r="G3" i="2" s="1"/>
  <c r="E4" i="2"/>
  <c r="F4" i="2" s="1"/>
  <c r="G4" i="2" s="1"/>
  <c r="E5" i="2"/>
  <c r="F5" i="2" s="1"/>
  <c r="G5" i="2" s="1"/>
  <c r="E6" i="2"/>
  <c r="F6" i="2" s="1"/>
  <c r="G6" i="2" s="1"/>
  <c r="E7" i="2"/>
  <c r="F7" i="2" s="1"/>
  <c r="G7" i="2" s="1"/>
  <c r="E8" i="2"/>
  <c r="F8" i="2" s="1"/>
  <c r="G8" i="2" s="1"/>
  <c r="E9" i="2"/>
  <c r="F9" i="2" s="1"/>
  <c r="G9" i="2" s="1"/>
  <c r="E10" i="2"/>
  <c r="F10" i="2" s="1"/>
  <c r="G10" i="2" s="1"/>
  <c r="E11" i="2"/>
  <c r="F11" i="2" s="1"/>
  <c r="G11" i="2" s="1"/>
  <c r="E12" i="2"/>
  <c r="F12" i="2" s="1"/>
  <c r="G12" i="2" s="1"/>
  <c r="E13" i="2"/>
  <c r="F13" i="2" s="1"/>
  <c r="G13" i="2" s="1"/>
  <c r="E14" i="2"/>
  <c r="F14" i="2" s="1"/>
  <c r="G14" i="2" s="1"/>
  <c r="E15" i="2"/>
  <c r="F15" i="2" s="1"/>
  <c r="G15" i="2" s="1"/>
  <c r="E16" i="2"/>
  <c r="F16" i="2" s="1"/>
  <c r="G16" i="2" s="1"/>
  <c r="E17" i="2"/>
  <c r="F17" i="2" s="1"/>
  <c r="G17" i="2" s="1"/>
  <c r="E18" i="2"/>
  <c r="E19" i="2"/>
  <c r="F19" i="2" s="1"/>
  <c r="G19" i="2" s="1"/>
  <c r="E20" i="2"/>
  <c r="F20" i="2" s="1"/>
  <c r="G20" i="2" s="1"/>
  <c r="E21" i="2"/>
  <c r="F21" i="2" s="1"/>
  <c r="G21" i="2" s="1"/>
  <c r="E22" i="2"/>
  <c r="F22" i="2" s="1"/>
  <c r="G22" i="2" s="1"/>
  <c r="E23" i="2"/>
  <c r="F23" i="2" s="1"/>
  <c r="G23" i="2" s="1"/>
  <c r="E24" i="2"/>
  <c r="F24" i="2" s="1"/>
  <c r="G24" i="2" s="1"/>
  <c r="E25" i="2"/>
  <c r="F25" i="2" s="1"/>
  <c r="G25" i="2" s="1"/>
  <c r="E26" i="2"/>
  <c r="F26" i="2" s="1"/>
  <c r="G26" i="2" s="1"/>
  <c r="E27" i="2"/>
  <c r="F27" i="2" s="1"/>
  <c r="G27" i="2" s="1"/>
  <c r="E28" i="2"/>
  <c r="F28" i="2" s="1"/>
  <c r="G28" i="2" s="1"/>
  <c r="E29" i="2"/>
  <c r="F29" i="2" s="1"/>
  <c r="G29" i="2" s="1"/>
  <c r="E30" i="2"/>
  <c r="F30" i="2" s="1"/>
  <c r="G30" i="2" s="1"/>
  <c r="E31" i="2"/>
  <c r="F31" i="2" s="1"/>
  <c r="G31" i="2" s="1"/>
  <c r="E32" i="2"/>
  <c r="F32" i="2" s="1"/>
  <c r="G32" i="2" s="1"/>
  <c r="E33" i="2"/>
  <c r="F33" i="2" s="1"/>
  <c r="G33" i="2" s="1"/>
  <c r="E34" i="2"/>
  <c r="E35" i="2"/>
  <c r="F35" i="2" s="1"/>
  <c r="G35" i="2" s="1"/>
  <c r="E36" i="2"/>
  <c r="F36" i="2" s="1"/>
  <c r="G36" i="2" s="1"/>
  <c r="E37" i="2"/>
  <c r="F37" i="2" s="1"/>
  <c r="G37" i="2" s="1"/>
  <c r="E38" i="2"/>
  <c r="F38" i="2" s="1"/>
  <c r="G38" i="2" s="1"/>
  <c r="E39" i="2"/>
  <c r="F39" i="2" s="1"/>
  <c r="G39" i="2" s="1"/>
  <c r="E40" i="2"/>
  <c r="F40" i="2" s="1"/>
  <c r="G40" i="2" s="1"/>
  <c r="E41" i="2"/>
  <c r="F41" i="2" s="1"/>
  <c r="G41" i="2" s="1"/>
  <c r="E42" i="2"/>
  <c r="F42" i="2" s="1"/>
  <c r="G42" i="2" s="1"/>
  <c r="E43" i="2"/>
  <c r="F43" i="2" s="1"/>
  <c r="G43" i="2" s="1"/>
  <c r="E44" i="2"/>
  <c r="F44" i="2" s="1"/>
  <c r="G44" i="2" s="1"/>
  <c r="E45" i="2"/>
  <c r="F45" i="2" s="1"/>
  <c r="G45" i="2" s="1"/>
  <c r="E46" i="2"/>
  <c r="F46" i="2" s="1"/>
  <c r="G46" i="2" s="1"/>
  <c r="E47" i="2"/>
  <c r="F47" i="2" s="1"/>
  <c r="G47" i="2" s="1"/>
  <c r="E48" i="2"/>
  <c r="F48" i="2" s="1"/>
  <c r="G48" i="2" s="1"/>
  <c r="E49" i="2"/>
  <c r="F49" i="2" s="1"/>
  <c r="G49" i="2" s="1"/>
  <c r="E50" i="2"/>
  <c r="E51" i="2"/>
  <c r="F51" i="2" s="1"/>
  <c r="G51" i="2" s="1"/>
  <c r="E52" i="2"/>
  <c r="F52" i="2" s="1"/>
  <c r="G52" i="2" s="1"/>
  <c r="E53" i="2"/>
  <c r="F53" i="2" s="1"/>
  <c r="G53" i="2" s="1"/>
  <c r="E54" i="2"/>
  <c r="F54" i="2" s="1"/>
  <c r="G54" i="2" s="1"/>
  <c r="E55" i="2"/>
  <c r="F55" i="2" s="1"/>
  <c r="G55" i="2" s="1"/>
  <c r="E56" i="2"/>
  <c r="F56" i="2" s="1"/>
  <c r="G56" i="2" s="1"/>
  <c r="E57" i="2"/>
  <c r="F57" i="2" s="1"/>
  <c r="G57" i="2" s="1"/>
  <c r="E58" i="2"/>
  <c r="F58" i="2" s="1"/>
  <c r="G58" i="2" s="1"/>
  <c r="E59" i="2"/>
  <c r="F59" i="2" s="1"/>
  <c r="G59" i="2" s="1"/>
  <c r="E60" i="2"/>
  <c r="F60" i="2" s="1"/>
  <c r="G60" i="2" s="1"/>
  <c r="E61" i="2"/>
  <c r="F61" i="2" s="1"/>
  <c r="G61" i="2" s="1"/>
  <c r="E62" i="2"/>
  <c r="F62" i="2" s="1"/>
  <c r="G62" i="2" s="1"/>
  <c r="E63" i="2"/>
  <c r="F63" i="2" s="1"/>
  <c r="G63" i="2" s="1"/>
  <c r="E64" i="2"/>
  <c r="F64" i="2" s="1"/>
  <c r="G64" i="2" s="1"/>
  <c r="E65" i="2"/>
  <c r="F65" i="2" s="1"/>
  <c r="G65" i="2" s="1"/>
  <c r="E66" i="2"/>
  <c r="E67" i="2"/>
  <c r="F67" i="2" s="1"/>
  <c r="G67" i="2" s="1"/>
  <c r="E68" i="2"/>
  <c r="F68" i="2" s="1"/>
  <c r="G68" i="2" s="1"/>
  <c r="E69" i="2"/>
  <c r="F69" i="2" s="1"/>
  <c r="G69" i="2" s="1"/>
  <c r="E70" i="2"/>
  <c r="F70" i="2" s="1"/>
  <c r="G70" i="2" s="1"/>
  <c r="E71" i="2"/>
  <c r="F71" i="2" s="1"/>
  <c r="G71" i="2" s="1"/>
  <c r="E72" i="2"/>
  <c r="F72" i="2" s="1"/>
  <c r="G72" i="2" s="1"/>
  <c r="E73" i="2"/>
  <c r="F73" i="2" s="1"/>
  <c r="G73" i="2" s="1"/>
  <c r="E74" i="2"/>
  <c r="F74" i="2" s="1"/>
  <c r="G74" i="2" s="1"/>
  <c r="E75" i="2"/>
  <c r="F75" i="2" s="1"/>
  <c r="G75" i="2" s="1"/>
  <c r="E76" i="2"/>
  <c r="F76" i="2" s="1"/>
  <c r="G76" i="2" s="1"/>
  <c r="E77" i="2"/>
  <c r="F77" i="2" s="1"/>
  <c r="G77" i="2" s="1"/>
  <c r="E78" i="2"/>
  <c r="F78" i="2" s="1"/>
  <c r="G78" i="2" s="1"/>
  <c r="E79" i="2"/>
  <c r="F79" i="2" s="1"/>
  <c r="G79" i="2" s="1"/>
  <c r="E80" i="2"/>
  <c r="F80" i="2" s="1"/>
  <c r="G80" i="2" s="1"/>
  <c r="E81" i="2"/>
  <c r="F81" i="2" s="1"/>
  <c r="G81" i="2" s="1"/>
  <c r="E82" i="2"/>
  <c r="E83" i="2"/>
  <c r="F83" i="2" s="1"/>
  <c r="G83" i="2" s="1"/>
  <c r="E84" i="2"/>
  <c r="F84" i="2" s="1"/>
  <c r="G84" i="2" s="1"/>
  <c r="E85" i="2"/>
  <c r="F85" i="2" s="1"/>
  <c r="G85" i="2" s="1"/>
  <c r="E86" i="2"/>
  <c r="F86" i="2" s="1"/>
  <c r="G86" i="2" s="1"/>
  <c r="E87" i="2"/>
  <c r="F87" i="2" s="1"/>
  <c r="G87" i="2" s="1"/>
  <c r="E88" i="2"/>
  <c r="F88" i="2" s="1"/>
  <c r="G88" i="2" s="1"/>
  <c r="E89" i="2"/>
  <c r="F89" i="2" s="1"/>
  <c r="G89" i="2" s="1"/>
  <c r="E90" i="2"/>
  <c r="F90" i="2" s="1"/>
  <c r="G90" i="2" s="1"/>
  <c r="E91" i="2"/>
  <c r="F91" i="2" s="1"/>
  <c r="G91" i="2" s="1"/>
  <c r="E92" i="2"/>
  <c r="F92" i="2" s="1"/>
  <c r="G92" i="2" s="1"/>
  <c r="E93" i="2"/>
  <c r="F93" i="2" s="1"/>
  <c r="G93" i="2" s="1"/>
  <c r="E94" i="2"/>
  <c r="F94" i="2" s="1"/>
  <c r="G94" i="2" s="1"/>
  <c r="E95" i="2"/>
  <c r="F95" i="2" s="1"/>
  <c r="G95" i="2" s="1"/>
  <c r="E96" i="2"/>
  <c r="F96" i="2" s="1"/>
  <c r="G96" i="2" s="1"/>
  <c r="E97" i="2"/>
  <c r="F97" i="2" s="1"/>
  <c r="G97" i="2" s="1"/>
  <c r="E98" i="2"/>
  <c r="E99" i="2"/>
  <c r="F99" i="2" s="1"/>
  <c r="G99" i="2" s="1"/>
  <c r="E100" i="2"/>
  <c r="F100" i="2" s="1"/>
  <c r="G100" i="2" s="1"/>
  <c r="E101" i="2"/>
  <c r="F101" i="2" s="1"/>
  <c r="G101" i="2" s="1"/>
  <c r="E102" i="2"/>
  <c r="F102" i="2" s="1"/>
  <c r="G102" i="2" s="1"/>
  <c r="E103" i="2"/>
  <c r="F103" i="2" s="1"/>
  <c r="G103" i="2" s="1"/>
  <c r="E104" i="2"/>
  <c r="F104" i="2" s="1"/>
  <c r="G104" i="2" s="1"/>
  <c r="E105" i="2"/>
  <c r="F105" i="2" s="1"/>
  <c r="G105" i="2" s="1"/>
  <c r="E106" i="2"/>
  <c r="F106" i="2" s="1"/>
  <c r="G106" i="2" s="1"/>
  <c r="E107" i="2"/>
  <c r="F107" i="2" s="1"/>
  <c r="G107" i="2" s="1"/>
  <c r="E108" i="2"/>
  <c r="F108" i="2" s="1"/>
  <c r="G108" i="2" s="1"/>
  <c r="E109" i="2"/>
  <c r="F109" i="2" s="1"/>
  <c r="G109" i="2" s="1"/>
  <c r="E110" i="2"/>
  <c r="F110" i="2" s="1"/>
  <c r="G110" i="2" s="1"/>
  <c r="E111" i="2"/>
  <c r="F111" i="2" s="1"/>
  <c r="G111" i="2" s="1"/>
  <c r="E112" i="2"/>
  <c r="F112" i="2" s="1"/>
  <c r="G112" i="2" s="1"/>
  <c r="E113" i="2"/>
  <c r="F113" i="2" s="1"/>
  <c r="G113" i="2" s="1"/>
  <c r="E114" i="2"/>
  <c r="E115" i="2"/>
  <c r="F115" i="2" s="1"/>
  <c r="G115" i="2" s="1"/>
  <c r="E116" i="2"/>
  <c r="F116" i="2" s="1"/>
  <c r="G116" i="2" s="1"/>
  <c r="E117" i="2"/>
  <c r="F117" i="2" s="1"/>
  <c r="G117" i="2" s="1"/>
  <c r="E118" i="2"/>
  <c r="F118" i="2" s="1"/>
  <c r="G118" i="2" s="1"/>
  <c r="E119" i="2"/>
  <c r="F119" i="2" s="1"/>
  <c r="G119" i="2" s="1"/>
  <c r="E120" i="2"/>
  <c r="F120" i="2" s="1"/>
  <c r="G120" i="2" s="1"/>
  <c r="E121" i="2"/>
  <c r="F121" i="2" s="1"/>
  <c r="G121" i="2" s="1"/>
  <c r="E122" i="2"/>
  <c r="F122" i="2" s="1"/>
  <c r="G122" i="2" s="1"/>
  <c r="E123" i="2"/>
  <c r="F123" i="2" s="1"/>
  <c r="G123" i="2" s="1"/>
  <c r="E124" i="2"/>
  <c r="F124" i="2" s="1"/>
  <c r="G124" i="2" s="1"/>
  <c r="E125" i="2"/>
  <c r="F125" i="2" s="1"/>
  <c r="G125" i="2" s="1"/>
  <c r="E126" i="2"/>
  <c r="F126" i="2" s="1"/>
  <c r="G126" i="2" s="1"/>
  <c r="E127" i="2"/>
  <c r="F127" i="2" s="1"/>
  <c r="G127" i="2" s="1"/>
  <c r="E128" i="2"/>
  <c r="F128" i="2" s="1"/>
  <c r="G128" i="2" s="1"/>
  <c r="E129" i="2"/>
  <c r="F129" i="2" s="1"/>
  <c r="G129" i="2" s="1"/>
  <c r="E130" i="2"/>
  <c r="E131" i="2"/>
  <c r="F131" i="2" s="1"/>
  <c r="G131" i="2" s="1"/>
  <c r="E132" i="2"/>
  <c r="F132" i="2" s="1"/>
  <c r="G132" i="2" s="1"/>
  <c r="E133" i="2"/>
  <c r="F133" i="2" s="1"/>
  <c r="G133" i="2" s="1"/>
  <c r="E134" i="2"/>
  <c r="F134" i="2" s="1"/>
  <c r="G134" i="2" s="1"/>
  <c r="E135" i="2"/>
  <c r="F135" i="2" s="1"/>
  <c r="G135" i="2" s="1"/>
  <c r="E136" i="2"/>
  <c r="F136" i="2" s="1"/>
  <c r="G136" i="2" s="1"/>
  <c r="E137" i="2"/>
  <c r="F137" i="2" s="1"/>
  <c r="G137" i="2" s="1"/>
  <c r="E138" i="2"/>
  <c r="F138" i="2" s="1"/>
  <c r="G138" i="2" s="1"/>
  <c r="E139" i="2"/>
  <c r="F139" i="2" s="1"/>
  <c r="G139" i="2" s="1"/>
  <c r="E140" i="2"/>
  <c r="F140" i="2" s="1"/>
  <c r="G140" i="2" s="1"/>
  <c r="E141" i="2"/>
  <c r="F141" i="2" s="1"/>
  <c r="G141" i="2" s="1"/>
  <c r="E142" i="2"/>
  <c r="F142" i="2" s="1"/>
  <c r="G142" i="2" s="1"/>
  <c r="E143" i="2"/>
  <c r="F143" i="2" s="1"/>
  <c r="G143" i="2" s="1"/>
  <c r="E144" i="2"/>
  <c r="F144" i="2" s="1"/>
  <c r="G144" i="2" s="1"/>
  <c r="E145" i="2"/>
  <c r="F145" i="2" s="1"/>
  <c r="G145" i="2" s="1"/>
  <c r="E146" i="2"/>
  <c r="E147" i="2"/>
  <c r="F147" i="2" s="1"/>
  <c r="G147" i="2" s="1"/>
  <c r="E148" i="2"/>
  <c r="F148" i="2" s="1"/>
  <c r="G148" i="2" s="1"/>
  <c r="E149" i="2"/>
  <c r="F149" i="2" s="1"/>
  <c r="G149" i="2" s="1"/>
  <c r="E150" i="2"/>
  <c r="F150" i="2" s="1"/>
  <c r="G150" i="2" s="1"/>
  <c r="E151" i="2"/>
  <c r="F151" i="2" s="1"/>
  <c r="G151" i="2" s="1"/>
  <c r="E152" i="2"/>
  <c r="F152" i="2" s="1"/>
  <c r="G152" i="2" s="1"/>
  <c r="E153" i="2"/>
  <c r="F153" i="2" s="1"/>
  <c r="G153" i="2" s="1"/>
  <c r="E154" i="2"/>
  <c r="F154" i="2" s="1"/>
  <c r="G154" i="2" s="1"/>
  <c r="E155" i="2"/>
  <c r="F155" i="2" s="1"/>
  <c r="G155" i="2" s="1"/>
  <c r="E156" i="2"/>
  <c r="F156" i="2" s="1"/>
  <c r="G156" i="2" s="1"/>
  <c r="E157" i="2"/>
  <c r="F157" i="2" s="1"/>
  <c r="G157" i="2" s="1"/>
  <c r="E158" i="2"/>
  <c r="F158" i="2" s="1"/>
  <c r="G158" i="2" s="1"/>
  <c r="E159" i="2"/>
  <c r="F159" i="2" s="1"/>
  <c r="G159" i="2" s="1"/>
  <c r="E160" i="2"/>
  <c r="F160" i="2" s="1"/>
  <c r="G160" i="2" s="1"/>
  <c r="E161" i="2"/>
  <c r="F161" i="2" s="1"/>
  <c r="G161" i="2" s="1"/>
  <c r="E162" i="2"/>
  <c r="E163" i="2"/>
  <c r="F163" i="2" s="1"/>
  <c r="G163" i="2" s="1"/>
  <c r="E164" i="2"/>
  <c r="F164" i="2" s="1"/>
  <c r="G164" i="2" s="1"/>
  <c r="E165" i="2"/>
  <c r="F165" i="2" s="1"/>
  <c r="G165" i="2" s="1"/>
  <c r="E166" i="2"/>
  <c r="F166" i="2" s="1"/>
  <c r="G166" i="2" s="1"/>
  <c r="E167" i="2"/>
  <c r="F167" i="2" s="1"/>
  <c r="G167" i="2" s="1"/>
  <c r="E168" i="2"/>
  <c r="F168" i="2" s="1"/>
  <c r="G168" i="2" s="1"/>
  <c r="E169" i="2"/>
  <c r="F169" i="2" s="1"/>
  <c r="G169" i="2" s="1"/>
  <c r="E170" i="2"/>
  <c r="F170" i="2" s="1"/>
  <c r="G170" i="2" s="1"/>
  <c r="E171" i="2"/>
  <c r="F171" i="2" s="1"/>
  <c r="G171" i="2" s="1"/>
  <c r="E172" i="2"/>
  <c r="F172" i="2" s="1"/>
  <c r="G172" i="2" s="1"/>
  <c r="E173" i="2"/>
  <c r="F173" i="2" s="1"/>
  <c r="G173" i="2" s="1"/>
  <c r="E174" i="2"/>
  <c r="F174" i="2" s="1"/>
  <c r="G174" i="2" s="1"/>
  <c r="E175" i="2"/>
  <c r="F175" i="2" s="1"/>
  <c r="G175" i="2" s="1"/>
  <c r="E176" i="2"/>
  <c r="F176" i="2" s="1"/>
  <c r="G176" i="2" s="1"/>
  <c r="E177" i="2"/>
  <c r="F177" i="2" s="1"/>
  <c r="G177" i="2" s="1"/>
  <c r="E178" i="2"/>
  <c r="E179" i="2"/>
  <c r="F179" i="2" s="1"/>
  <c r="G179" i="2" s="1"/>
  <c r="E180" i="2"/>
  <c r="F180" i="2" s="1"/>
  <c r="G180" i="2" s="1"/>
  <c r="E181" i="2"/>
  <c r="F181" i="2" s="1"/>
  <c r="G181" i="2" s="1"/>
  <c r="E182" i="2"/>
  <c r="F182" i="2" s="1"/>
  <c r="G182" i="2" s="1"/>
  <c r="E183" i="2"/>
  <c r="F183" i="2" s="1"/>
  <c r="G183" i="2" s="1"/>
  <c r="E184" i="2"/>
  <c r="F184" i="2" s="1"/>
  <c r="G184" i="2" s="1"/>
  <c r="E185" i="2"/>
  <c r="F185" i="2" s="1"/>
  <c r="G185" i="2" s="1"/>
  <c r="E186" i="2"/>
  <c r="F186" i="2" s="1"/>
  <c r="G186" i="2" s="1"/>
  <c r="E187" i="2"/>
  <c r="F187" i="2" s="1"/>
  <c r="G187" i="2" s="1"/>
  <c r="E188" i="2"/>
  <c r="F188" i="2" s="1"/>
  <c r="G188" i="2" s="1"/>
  <c r="E189" i="2"/>
  <c r="F189" i="2" s="1"/>
  <c r="G189" i="2" s="1"/>
  <c r="E190" i="2"/>
  <c r="F190" i="2" s="1"/>
  <c r="G190" i="2" s="1"/>
  <c r="E191" i="2"/>
  <c r="F191" i="2" s="1"/>
  <c r="G191" i="2" s="1"/>
  <c r="E192" i="2"/>
  <c r="F192" i="2" s="1"/>
  <c r="G192" i="2" s="1"/>
  <c r="E193" i="2"/>
  <c r="F193" i="2" s="1"/>
  <c r="G193" i="2" s="1"/>
  <c r="E194" i="2"/>
  <c r="E195" i="2"/>
  <c r="F195" i="2" s="1"/>
  <c r="G195" i="2" s="1"/>
  <c r="E196" i="2"/>
  <c r="F196" i="2" s="1"/>
  <c r="G196" i="2" s="1"/>
  <c r="E197" i="2"/>
  <c r="F197" i="2" s="1"/>
  <c r="G197" i="2" s="1"/>
  <c r="E198" i="2"/>
  <c r="F198" i="2" s="1"/>
  <c r="G198" i="2" s="1"/>
  <c r="E199" i="2"/>
  <c r="F199" i="2" s="1"/>
  <c r="G199" i="2" s="1"/>
  <c r="E200" i="2"/>
  <c r="F200" i="2" s="1"/>
  <c r="G200" i="2" s="1"/>
  <c r="E201" i="2"/>
  <c r="F201" i="2" s="1"/>
  <c r="G201" i="2" s="1"/>
  <c r="E202" i="2"/>
  <c r="F202" i="2" s="1"/>
  <c r="G202" i="2" s="1"/>
  <c r="E203" i="2"/>
  <c r="F203" i="2" s="1"/>
  <c r="G203" i="2" s="1"/>
  <c r="E204" i="2"/>
  <c r="F204" i="2" s="1"/>
  <c r="G204" i="2" s="1"/>
  <c r="E205" i="2"/>
  <c r="F205" i="2" s="1"/>
  <c r="G205" i="2" s="1"/>
  <c r="E206" i="2"/>
  <c r="F206" i="2" s="1"/>
  <c r="G206" i="2" s="1"/>
  <c r="E207" i="2"/>
  <c r="F207" i="2" s="1"/>
  <c r="G207" i="2" s="1"/>
  <c r="E208" i="2"/>
  <c r="F208" i="2" s="1"/>
  <c r="G208" i="2" s="1"/>
  <c r="E209" i="2"/>
  <c r="F209" i="2" s="1"/>
  <c r="G209" i="2" s="1"/>
  <c r="E210" i="2"/>
  <c r="E211" i="2"/>
  <c r="F211" i="2" s="1"/>
  <c r="G211" i="2" s="1"/>
  <c r="E212" i="2"/>
  <c r="F212" i="2" s="1"/>
  <c r="G212" i="2" s="1"/>
  <c r="E213" i="2"/>
  <c r="F213" i="2" s="1"/>
  <c r="G213" i="2" s="1"/>
  <c r="E214" i="2"/>
  <c r="F214" i="2" s="1"/>
  <c r="G214" i="2" s="1"/>
  <c r="E215" i="2"/>
  <c r="F215" i="2" s="1"/>
  <c r="G215" i="2" s="1"/>
  <c r="E216" i="2"/>
  <c r="F216" i="2" s="1"/>
  <c r="G216" i="2" s="1"/>
  <c r="E217" i="2"/>
  <c r="F217" i="2" s="1"/>
  <c r="G217" i="2" s="1"/>
  <c r="E218" i="2"/>
  <c r="F218" i="2" s="1"/>
  <c r="G218" i="2" s="1"/>
  <c r="E219" i="2"/>
  <c r="F219" i="2" s="1"/>
  <c r="G219" i="2" s="1"/>
  <c r="E220" i="2"/>
  <c r="F220" i="2" s="1"/>
  <c r="G220" i="2" s="1"/>
  <c r="E221" i="2"/>
  <c r="F221" i="2" s="1"/>
  <c r="G221" i="2" s="1"/>
  <c r="E222" i="2"/>
  <c r="F222" i="2" s="1"/>
  <c r="G222" i="2" s="1"/>
  <c r="E223" i="2"/>
  <c r="F223" i="2" s="1"/>
  <c r="G223" i="2" s="1"/>
  <c r="E224" i="2"/>
  <c r="F224" i="2" s="1"/>
  <c r="G224" i="2" s="1"/>
  <c r="E225" i="2"/>
  <c r="F225" i="2" s="1"/>
  <c r="G225" i="2" s="1"/>
  <c r="E226" i="2"/>
  <c r="E227" i="2"/>
  <c r="F227" i="2" s="1"/>
  <c r="G227" i="2" s="1"/>
  <c r="E228" i="2"/>
  <c r="F228" i="2" s="1"/>
  <c r="G228" i="2" s="1"/>
  <c r="E229" i="2"/>
  <c r="F229" i="2" s="1"/>
  <c r="G229" i="2" s="1"/>
  <c r="E230" i="2"/>
  <c r="F230" i="2" s="1"/>
  <c r="G230" i="2" s="1"/>
  <c r="E231" i="2"/>
  <c r="F231" i="2" s="1"/>
  <c r="G231" i="2" s="1"/>
  <c r="E232" i="2"/>
  <c r="F232" i="2" s="1"/>
  <c r="G232" i="2" s="1"/>
  <c r="E233" i="2"/>
  <c r="F233" i="2" s="1"/>
  <c r="G233" i="2" s="1"/>
  <c r="E234" i="2"/>
  <c r="F234" i="2" s="1"/>
  <c r="G234" i="2" s="1"/>
  <c r="E235" i="2"/>
  <c r="F235" i="2" s="1"/>
  <c r="G235" i="2" s="1"/>
  <c r="E236" i="2"/>
  <c r="F236" i="2" s="1"/>
  <c r="G236" i="2" s="1"/>
  <c r="E237" i="2"/>
  <c r="F237" i="2" s="1"/>
  <c r="G237" i="2" s="1"/>
  <c r="E238" i="2"/>
  <c r="F238" i="2" s="1"/>
  <c r="G238" i="2" s="1"/>
  <c r="E239" i="2"/>
  <c r="F239" i="2" s="1"/>
  <c r="G239" i="2" s="1"/>
  <c r="E240" i="2"/>
  <c r="F240" i="2" s="1"/>
  <c r="G240" i="2" s="1"/>
  <c r="E241" i="2"/>
  <c r="F241" i="2" s="1"/>
  <c r="G241" i="2" s="1"/>
  <c r="E242" i="2"/>
  <c r="E243" i="2"/>
  <c r="F243" i="2" s="1"/>
  <c r="G243" i="2" s="1"/>
  <c r="E244" i="2"/>
  <c r="F244" i="2" s="1"/>
  <c r="G244" i="2" s="1"/>
  <c r="E245" i="2"/>
  <c r="F245" i="2" s="1"/>
  <c r="G245" i="2" s="1"/>
  <c r="E246" i="2"/>
  <c r="F246" i="2" s="1"/>
  <c r="G246" i="2" s="1"/>
  <c r="E247" i="2"/>
  <c r="F247" i="2" s="1"/>
  <c r="G247" i="2" s="1"/>
  <c r="E248" i="2"/>
  <c r="F248" i="2" s="1"/>
  <c r="G248" i="2" s="1"/>
  <c r="E249" i="2"/>
  <c r="F249" i="2" s="1"/>
  <c r="G249" i="2" s="1"/>
  <c r="E250" i="2"/>
  <c r="F250" i="2" s="1"/>
  <c r="G250" i="2" s="1"/>
  <c r="E251" i="2"/>
  <c r="F251" i="2" s="1"/>
  <c r="G251" i="2" s="1"/>
  <c r="E252" i="2"/>
  <c r="F252" i="2" s="1"/>
  <c r="G252" i="2" s="1"/>
  <c r="E253" i="2"/>
  <c r="F253" i="2" s="1"/>
  <c r="G253" i="2" s="1"/>
  <c r="E254" i="2"/>
  <c r="F254" i="2" s="1"/>
  <c r="G254" i="2" s="1"/>
  <c r="E255" i="2"/>
  <c r="F255" i="2" s="1"/>
  <c r="G255" i="2" s="1"/>
  <c r="E256" i="2"/>
  <c r="F256" i="2" s="1"/>
  <c r="G256" i="2" s="1"/>
  <c r="E257" i="2"/>
  <c r="F257" i="2" s="1"/>
  <c r="G257" i="2" s="1"/>
  <c r="E258" i="2"/>
  <c r="E259" i="2"/>
  <c r="F259" i="2" s="1"/>
  <c r="G259" i="2" s="1"/>
  <c r="E260" i="2"/>
  <c r="F260" i="2" s="1"/>
  <c r="G260" i="2" s="1"/>
  <c r="E261" i="2"/>
  <c r="F261" i="2" s="1"/>
  <c r="G261" i="2" s="1"/>
  <c r="E262" i="2"/>
  <c r="F262" i="2" s="1"/>
  <c r="G262" i="2" s="1"/>
  <c r="E263" i="2"/>
  <c r="F263" i="2" s="1"/>
  <c r="G263" i="2" s="1"/>
  <c r="E264" i="2"/>
  <c r="F264" i="2" s="1"/>
  <c r="G264" i="2" s="1"/>
  <c r="E265" i="2"/>
  <c r="F265" i="2" s="1"/>
  <c r="G265" i="2" s="1"/>
  <c r="E2" i="2"/>
  <c r="D268" i="2"/>
  <c r="D267"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 i="2"/>
  <c r="J3" i="2" a="1"/>
  <c r="J3" i="2" l="1"/>
  <c r="E270" i="2"/>
  <c r="F2" i="2"/>
  <c r="G2" i="2" s="1"/>
  <c r="E268" i="2"/>
  <c r="D26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Jonathan Power</author>
  </authors>
  <commentList>
    <comment ref="A1" authorId="0" shapeId="0" xr:uid="{00000000-0006-0000-0000-000001000000}">
      <text>
        <r>
          <rPr>
            <b/>
            <sz val="9"/>
            <color indexed="81"/>
            <rFont val="Verdana"/>
          </rPr>
          <t>Jonathan Power:</t>
        </r>
        <r>
          <rPr>
            <sz val="9"/>
            <color indexed="81"/>
            <rFont val="Verdana"/>
          </rPr>
          <t xml:space="preserve">
The ROIs are presented in the same ordering that was used in Power et al., Neuron, 2011.
The ROI coordinates are provided in the Washington University atlas space used for analysis, and after transformation to MNI space.
Power et al. presents communities ("subgraphs" in the paper) from a variety of thresholds in main and replication subject cohorts. All assignments at all thresholds are provided, and a summary "consensus" set of community assignments is provided, along with the colors from the accompanying .tiff and the labels that were generally used to discuss the community in the paper.
Please note that the numbers used to denote community assignments at each edge density (column) are independent of the other columns, but an effort has been made to use numbers consistently within each cohort. Any concordance in numberings between cohorts is incidental, and it's not a problem that numberings don't always match up between cohorts.</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<sst xmlns="http://schemas.openxmlformats.org/spreadsheetml/2006/main" count="1025" uniqueCount="161">
  <si>
    <t>711-2L space</t>
    <phoneticPr fontId="2" type="noConversion"/>
  </si>
  <si>
    <t>MNI space</t>
    <phoneticPr fontId="2" type="noConversion"/>
  </si>
  <si>
    <t>Main Cohort</t>
    <phoneticPr fontId="2" type="noConversion"/>
  </si>
  <si>
    <t>Replication Cohort</t>
    <phoneticPr fontId="2" type="noConversion"/>
  </si>
  <si>
    <t>Master Assignment</t>
    <phoneticPr fontId="2" type="noConversion"/>
  </si>
  <si>
    <t>Suggested Color</t>
    <phoneticPr fontId="2" type="noConversion"/>
  </si>
  <si>
    <t>Suggested System</t>
    <phoneticPr fontId="2" type="noConversion"/>
  </si>
  <si>
    <t>ROI</t>
  </si>
  <si>
    <t>X</t>
  </si>
  <si>
    <t>Y</t>
  </si>
  <si>
    <t>Z</t>
  </si>
  <si>
    <t>X</t>
    <phoneticPr fontId="2" type="noConversion"/>
  </si>
  <si>
    <t>Y</t>
    <phoneticPr fontId="2" type="noConversion"/>
  </si>
  <si>
    <t>Z</t>
    <phoneticPr fontId="2" type="noConversion"/>
  </si>
  <si>
    <t>Edge density (%)</t>
    <phoneticPr fontId="2" type="noConversion"/>
  </si>
  <si>
    <t>White</t>
    <phoneticPr fontId="2" type="noConversion"/>
  </si>
  <si>
    <t>Uncertain</t>
    <phoneticPr fontId="2" type="noConversion"/>
  </si>
  <si>
    <t>Purple</t>
    <phoneticPr fontId="2" type="noConversion"/>
  </si>
  <si>
    <t>Cingulo-opercular Task Control</t>
    <phoneticPr fontId="2" type="noConversion"/>
  </si>
  <si>
    <t>Red</t>
    <phoneticPr fontId="2" type="noConversion"/>
  </si>
  <si>
    <t>Default mode</t>
  </si>
  <si>
    <t>Default mode</t>
    <phoneticPr fontId="2" type="noConversion"/>
  </si>
  <si>
    <t>Gray</t>
    <phoneticPr fontId="2" type="noConversion"/>
  </si>
  <si>
    <t>Memory retrieval?</t>
    <phoneticPr fontId="2" type="noConversion"/>
  </si>
  <si>
    <t>Teal</t>
    <phoneticPr fontId="2" type="noConversion"/>
  </si>
  <si>
    <t>Ventral attention</t>
    <phoneticPr fontId="2" type="noConversion"/>
  </si>
  <si>
    <t>Yellow</t>
    <phoneticPr fontId="2" type="noConversion"/>
  </si>
  <si>
    <t>Fronto-parietal Task Control</t>
    <phoneticPr fontId="2" type="noConversion"/>
  </si>
  <si>
    <t>Uncertain</t>
  </si>
  <si>
    <t>Black</t>
    <phoneticPr fontId="2" type="noConversion"/>
  </si>
  <si>
    <t>Salience</t>
    <phoneticPr fontId="2" type="noConversion"/>
  </si>
  <si>
    <t>Brown</t>
    <phoneticPr fontId="2" type="noConversion"/>
  </si>
  <si>
    <t>Subcortical</t>
    <phoneticPr fontId="2" type="noConversion"/>
  </si>
  <si>
    <t>White</t>
  </si>
  <si>
    <t>Green</t>
    <phoneticPr fontId="2" type="noConversion"/>
  </si>
  <si>
    <t>Dorsal attention</t>
    <phoneticPr fontId="2" type="noConversion"/>
  </si>
  <si>
    <t>SensMtrHand</t>
  </si>
  <si>
    <t>SensMtrMouth</t>
  </si>
  <si>
    <t>CingOperc</t>
  </si>
  <si>
    <t>Auditory</t>
  </si>
  <si>
    <t>DMode</t>
  </si>
  <si>
    <t>MemoryRetr</t>
  </si>
  <si>
    <t>VentrAttn</t>
  </si>
  <si>
    <t>Visual</t>
  </si>
  <si>
    <t>FrontoParietal</t>
  </si>
  <si>
    <t>Salience</t>
  </si>
  <si>
    <t>Subcortical</t>
  </si>
  <si>
    <t>Cerebellar</t>
  </si>
  <si>
    <t>DorslAttn</t>
  </si>
  <si>
    <t>Power264 ROI#</t>
  </si>
  <si>
    <t>Sugg. Systems (that I may look at)</t>
  </si>
  <si>
    <t>Sugg. Systems (that I may look at) [As values]</t>
  </si>
  <si>
    <t>Cingulo-opercular Task Control</t>
  </si>
  <si>
    <t>Memory retrieval?</t>
  </si>
  <si>
    <t>Ventral attention</t>
  </si>
  <si>
    <t>Fronto-parietal Task Control</t>
  </si>
  <si>
    <t>Dorsal attention</t>
  </si>
  <si>
    <t>My naming shorthand</t>
  </si>
  <si>
    <t>N/A:</t>
  </si>
  <si>
    <t>All:</t>
  </si>
  <si>
    <t>Total (not N/A):</t>
  </si>
  <si>
    <t>Initial_Look</t>
  </si>
  <si>
    <t>YES</t>
  </si>
  <si>
    <t>NO</t>
  </si>
  <si>
    <t>DMode_74</t>
  </si>
  <si>
    <t>DMode_75</t>
  </si>
  <si>
    <t>DMode_76</t>
  </si>
  <si>
    <t>DMode_77</t>
  </si>
  <si>
    <t>DMode_78</t>
  </si>
  <si>
    <t>DMode_79</t>
  </si>
  <si>
    <t>DMode_80</t>
  </si>
  <si>
    <t>DMode_81</t>
  </si>
  <si>
    <t>DMode_82</t>
  </si>
  <si>
    <t>DMode_83</t>
  </si>
  <si>
    <t>DMode_86</t>
  </si>
  <si>
    <t>DMode_87</t>
  </si>
  <si>
    <t>DMode_88</t>
  </si>
  <si>
    <t>DMode_89</t>
  </si>
  <si>
    <t>DMode_90</t>
  </si>
  <si>
    <t>DMode_91</t>
  </si>
  <si>
    <t>DMode_92</t>
  </si>
  <si>
    <t>DMode_93</t>
  </si>
  <si>
    <t>DMode_94</t>
  </si>
  <si>
    <t>DMode_95</t>
  </si>
  <si>
    <t>DMode_96</t>
  </si>
  <si>
    <t>DMode_97</t>
  </si>
  <si>
    <t>DMode_98</t>
  </si>
  <si>
    <t>DMode_99</t>
  </si>
  <si>
    <t>DMode_100</t>
  </si>
  <si>
    <t>DMode_101</t>
  </si>
  <si>
    <t>DMode_102</t>
  </si>
  <si>
    <t>DMode_103</t>
  </si>
  <si>
    <t>DMode_104</t>
  </si>
  <si>
    <t>DMode_105</t>
  </si>
  <si>
    <t>DMode_106</t>
  </si>
  <si>
    <t>DMode_107</t>
  </si>
  <si>
    <t>DMode_108</t>
  </si>
  <si>
    <t>DMode_109</t>
  </si>
  <si>
    <t>DMode_110</t>
  </si>
  <si>
    <t>DMode_111</t>
  </si>
  <si>
    <t>DMode_112</t>
  </si>
  <si>
    <t>DMode_113</t>
  </si>
  <si>
    <t>DMode_114</t>
  </si>
  <si>
    <t>DMode_115</t>
  </si>
  <si>
    <t>DMode_116</t>
  </si>
  <si>
    <t>DMode_117</t>
  </si>
  <si>
    <t>DMode_118</t>
  </si>
  <si>
    <t>DMode_119</t>
  </si>
  <si>
    <t>DMode_120</t>
  </si>
  <si>
    <t>DMode_121</t>
  </si>
  <si>
    <t>DMode_122</t>
  </si>
  <si>
    <t>DMode_123</t>
  </si>
  <si>
    <t>DMode_124</t>
  </si>
  <si>
    <t>DMode_125</t>
  </si>
  <si>
    <t>DMode_126</t>
  </si>
  <si>
    <t>DMode_127</t>
  </si>
  <si>
    <t>DMode_128</t>
  </si>
  <si>
    <t>DMode_129</t>
  </si>
  <si>
    <t>DMode_130</t>
  </si>
  <si>
    <t>DMode_131</t>
  </si>
  <si>
    <t>DMode_137</t>
  </si>
  <si>
    <t>DMode_139</t>
  </si>
  <si>
    <t>FrontoParietal_174</t>
  </si>
  <si>
    <t>FrontoParietal_175</t>
  </si>
  <si>
    <t>FrontoParietal_176</t>
  </si>
  <si>
    <t>FrontoParietal_177</t>
  </si>
  <si>
    <t>FrontoParietal_178</t>
  </si>
  <si>
    <t>FrontoParietal_179</t>
  </si>
  <si>
    <t>FrontoParietal_180</t>
  </si>
  <si>
    <t>FrontoParietal_181</t>
  </si>
  <si>
    <t>FrontoParietal_186</t>
  </si>
  <si>
    <t>FrontoParietal_187</t>
  </si>
  <si>
    <t>FrontoParietal_188</t>
  </si>
  <si>
    <t>FrontoParietal_189</t>
  </si>
  <si>
    <t>FrontoParietal_190</t>
  </si>
  <si>
    <t>FrontoParietal_191</t>
  </si>
  <si>
    <t>FrontoParietal_192</t>
  </si>
  <si>
    <t>FrontoParietal_193</t>
  </si>
  <si>
    <t>FrontoParietal_194</t>
  </si>
  <si>
    <t>FrontoParietal_195</t>
  </si>
  <si>
    <t>FrontoParietal_196</t>
  </si>
  <si>
    <t>FrontoParietal_197</t>
  </si>
  <si>
    <t>FrontoParietal_198</t>
  </si>
  <si>
    <t>FrontoParietal_199</t>
  </si>
  <si>
    <t>FrontoParietal_200</t>
  </si>
  <si>
    <t>FrontoParietal_201</t>
  </si>
  <si>
    <t>FrontoParietal_202</t>
  </si>
  <si>
    <t>Subcortical_222</t>
  </si>
  <si>
    <t>Subcortical_223</t>
  </si>
  <si>
    <t>Subcortical_224</t>
  </si>
  <si>
    <t>Subcortical_225</t>
  </si>
  <si>
    <t>Subcortical_226</t>
  </si>
  <si>
    <t>Subcortical_227</t>
  </si>
  <si>
    <t>Subcortical_228</t>
  </si>
  <si>
    <t>Subcortical_229</t>
  </si>
  <si>
    <t>Subcortical_230</t>
  </si>
  <si>
    <t>Subcortical_231</t>
  </si>
  <si>
    <t>Subcortical_232</t>
  </si>
  <si>
    <t>Subcortical_233</t>
  </si>
  <si>
    <t>Subcortical_234</t>
  </si>
  <si>
    <t>DMode_74,DMode_75,DMode_76,DMode_77,DMode_78,DMode_79,DMode_80,DMode_81,DMode_82,DMode_83,DMode_86,DMode_87,DMode_88,DMode_89,DMode_90,DMode_91,DMode_92,DMode_93,DMode_94,DMode_95,DMode_96,DMode_97,DMode_98,DMode_99,DMode_100,DMode_101,DMode_102,DMode_103,DMode_104,DMode_105,DMode_106,DMode_107,DMode_108,DMode_109,DMode_110,DMode_111,DMode_112,DMode_113,DMode_114,DMode_115,DMode_116,DMode_117,DMode_118,DMode_119,DMode_120,DMode_121,DMode_122,DMode_123,DMode_124,DMode_125,DMode_126,DMode_127,DMode_128,DMode_129,DMode_130,DMode_131,DMode_137,DMode_139,FrontoParietal_174,FrontoParietal_175,FrontoParietal_176,FrontoParietal_177,FrontoParietal_178,FrontoParietal_179,FrontoParietal_180,FrontoParietal_181,FrontoParietal_186,FrontoParietal_187,FrontoParietal_188,FrontoParietal_189,FrontoParietal_190,FrontoParietal_191,FrontoParietal_192,FrontoParietal_193,FrontoParietal_194,FrontoParietal_195,FrontoParietal_196,FrontoParietal_197,FrontoParietal_198,FrontoParietal_199,FrontoParietal_200,FrontoParietal_201,FrontoParietal_202,Subcortical_222,Subcortical_223,Subcortical_224,Subcortical_225,Subcortical_226,Subcortical_227,Subcortical_228,Subcortical_229,Subcortical_230,Subcortical_231,Subcortical_232,Subcortical_233,Subcortical_234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</si>
</sst>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0"/>
      <name val="Verdana"/>
    </font>
    <font>
      <b/>
      <sz val="10"/>
      <name val="Verdana"/>
    </font>
    <font>
      <sz val="8"/>
      <name val="Verdana"/>
    </font>
    <font>
      <sz val="10"/>
      <color indexed="10"/>
      <name val="Verdana"/>
    </font>
    <font>
      <sz val="9"/>
      <color indexed="81"/>
      <name val="Verdana"/>
    </font>
    <font>
      <b/>
      <sz val="9"/>
      <color indexed="81"/>
      <name val="Verdana"/>
    </font>
    <font>
      <sz val="10"/>
      <name val="Verdana"/>
      <family val="2"/>
    </font>
    <font>
      <sz val="10"/>
      <name val="Verdana"/>
    </font>
  </fonts>
  <fills count="10">
    <fill>
      <patternFill patternType="none"/>
    </fill>
    <fill>
      <patternFill patternType="gray125"/>
    </fill>
    <fill>
      <patternFill patternType="solid">
        <fgColor indexed="20"/>
        <bgColor indexed="64"/>
      </patternFill>
    </fill>
    <fill>
      <patternFill patternType="solid">
        <fgColor indexed="10"/>
        <bgColor indexed="64"/>
      </patternFill>
    </fill>
    <fill>
      <patternFill patternType="solid">
        <fgColor indexed="55"/>
        <bgColor indexed="64"/>
      </patternFill>
    </fill>
    <fill>
      <patternFill patternType="solid">
        <fgColor indexed="57"/>
        <bgColor indexed="64"/>
      </patternFill>
    </fill>
    <fill>
      <patternFill patternType="solid">
        <fgColor indexed="8"/>
        <bgColor indexed="64"/>
      </patternFill>
    </fill>
    <fill>
      <patternFill patternType="solid">
        <fgColor indexed="11"/>
        <bgColor indexed="64"/>
      </patternFill>
    </fill>
    <fill>
      <patternFill patternType="solid">
        <fgColor theme="7" tint="0.59999389629810485"/>
        <bgColor indexed="64"/>
      </patternFill>
    </fill>
    <fill>
      <patternFill patternType="solid">
        <fgColor theme="8" tint="0.79998168889431442"/>
        <bgColor indexed="64"/>
      </patternFill>
    </fill>
  </fills>
  <borders count="1">
    <border>
      <left/>
      <right/>
      <top/>
      <bottom/>
      <diagonal/>
    </border>
  </borders>
  <cellStyleXfs count="1">
    <xf numFmtId="0" fontId="0" fillId="0" borderId="0"/>
  </cellStyleXfs>
  <cellXfs count="29">
    <xf numFmtId="0" fontId="0" fillId="0" borderId="0" xfId="0"/>
    <xf numFmtId="0" fontId="0" fillId="0" borderId="0" xfId="0" applyAlignment="1">
      <alignment horizontal="left"/>
    </xf>
    <xf numFmtId="0" fontId="0" fillId="0" borderId="0" xfId="0" applyAlignment="1">
      <alignment horizontal="center"/>
    </xf>
    <xf numFmtId="0" fontId="1" fillId="0" borderId="0" xfId="0" applyFont="1" applyAlignment="1">
      <alignment horizontal="center"/>
    </xf>
    <xf numFmtId="0" fontId="3" fillId="0" borderId="0" xfId="0" applyFont="1" applyAlignment="1">
      <alignment horizontal="center"/>
    </xf>
    <xf numFmtId="0" fontId="3" fillId="0" borderId="0" xfId="0" applyFont="1"/>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3" fillId="0" borderId="0" xfId="0" applyFont="1" applyAlignment="1">
      <alignment horizontal="left"/>
    </xf>
    <xf numFmtId="0" fontId="0" fillId="8" borderId="0" xfId="0" applyFill="1" applyAlignment="1">
      <alignment horizontal="center"/>
    </xf>
    <xf numFmtId="0" fontId="3" fillId="8" borderId="0" xfId="0" applyFont="1" applyFill="1" applyAlignment="1">
      <alignment horizontal="center"/>
    </xf>
    <xf numFmtId="1" fontId="1" fillId="8" borderId="0" xfId="0" applyNumberFormat="1" applyFont="1" applyFill="1" applyAlignment="1">
      <alignment horizontal="center"/>
    </xf>
    <xf numFmtId="1" fontId="0" fillId="8" borderId="0" xfId="0" applyNumberFormat="1" applyFill="1"/>
    <xf numFmtId="0" fontId="6" fillId="9" borderId="0" xfId="0" applyFont="1" applyFill="1" applyAlignment="1">
      <alignment horizontal="center"/>
    </xf>
    <xf numFmtId="1" fontId="6" fillId="9" borderId="0" xfId="0" applyNumberFormat="1" applyFont="1" applyFill="1"/>
    <xf numFmtId="0" fontId="6" fillId="9" borderId="0" xfId="0" applyFont="1" applyFill="1"/>
    <xf numFmtId="0" fontId="6" fillId="9" borderId="0" xfId="0" applyFont="1" applyFill="1" applyAlignment="1">
      <alignment horizontal="left"/>
    </xf>
    <xf numFmtId="0" fontId="1" fillId="9" borderId="0" xfId="0" applyFont="1" applyFill="1" applyAlignment="1">
      <alignment horizontal="center"/>
    </xf>
    <xf numFmtId="0" fontId="0" fillId="9" borderId="0" xfId="0" applyFill="1" applyAlignment="1">
      <alignment horizontal="center"/>
    </xf>
    <xf numFmtId="1" fontId="0" fillId="9" borderId="0" xfId="0" applyNumberFormat="1" applyFill="1"/>
    <xf numFmtId="0" fontId="0" fillId="9" borderId="0" xfId="0" applyFill="1"/>
    <xf numFmtId="0" fontId="0" fillId="9" borderId="0" xfId="0" applyFill="1" applyAlignment="1">
      <alignment horizontal="left"/>
    </xf>
    <xf numFmtId="0" fontId="7" fillId="0" borderId="0" xfId="0" applyFont="1" applyAlignment="1">
      <alignment horizontal="left"/>
    </xf>
    <xf numFmtId="0" fontId="7" fillId="0" borderId="0" xfId="0" applyFont="1"/>
    <xf numFmtId="0" fontId="0" fillId="0" borderId="0" xfId="0" applyAlignment="1">
      <alignment horizontal="right"/>
    </xf>
  </cellXfs>
  <cellStyles count="1">
    <cellStyle name="Normal" xfId="0" builtinId="0"/>
  </cellStyles>
  <dxfs count="3">
    <dxf>
      <fill>
        <patternFill>
          <bgColor indexed="20"/>
        </patternFill>
      </fill>
    </dxf>
    <dxf>
      <fill>
        <patternFill>
          <bgColor indexed="53"/>
        </patternFill>
      </fill>
    </dxf>
    <dxf>
      <fill>
        <patternFill>
          <bgColor indexed="40"/>
        </patternFill>
      </fill>
    </dxf>
  </dxfs>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11" Type="http://schemas.openxmlformats.org/officeDocument/2006/relationships/customXml" Target="../customXml/item3.xml"/><Relationship Id="rId5" Type="http://schemas.openxmlformats.org/officeDocument/2006/relationships/sharedStrings" Target="sharedStrings.xml"/><Relationship Id="rId10" Type="http://schemas.openxmlformats.org/officeDocument/2006/relationships/customXml" Target="../customXml/item2.xml"/><Relationship Id="rId4" Type="http://schemas.openxmlformats.org/officeDocument/2006/relationships/styles" Target="styles.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U183"/>
  <sheetViews>
    <sheetView workbookViewId="0">
      <pane xSplit="1" ySplit="2" topLeftCell="G159" activePane="bottomRight" state="frozen"/>
      <selection pane="topRight" activeCell="B1" sqref="B1"/>
      <selection pane="bottomLeft" activeCell="A3" sqref="A3"/>
      <selection pane="bottomRight" activeCell="AK38" activeCellId="4" sqref="AK146:AK158 AK110:AK126 AK98:AK105 AK41:AK86 AK29:AK38"/>
    </sheetView>
  </sheetViews>
  <sheetFormatPr defaultColWidth="3.75" defaultRowHeight="12.75" x14ac:dyDescent="0.2"/>
  <cols>
    <col min="1" max="1" width="9" style="3" customWidth="1"/>
    <col min="2" max="2" width="8.25" style="3" hidden="1" customWidth="1"/>
    <col min="3" max="5" width="0" style="2" hidden="1" customWidth="1"/>
    <col min="6" max="6" width="7.625" style="2" hidden="1" customWidth="1"/>
    <col min="7" max="8" width="4.25" style="13" bestFit="1" customWidth="1"/>
    <col min="9" max="9" width="3.875" style="13" bestFit="1" customWidth="1"/>
    <col min="10" max="10" width="3.75" style="2"/>
    <col min="11" max="11" width="15.625" hidden="1" customWidth="1"/>
    <col min="12" max="20" width="3.875" bestFit="1" customWidth="1"/>
    <col min="22" max="30" width="3.875" bestFit="1" customWidth="1"/>
    <col min="32" max="32" width="14.625" style="3" customWidth="1"/>
    <col min="35" max="35" width="8.125" style="2" customWidth="1"/>
    <col min="36" max="36" width="7" customWidth="1"/>
    <col min="37" max="37" width="26" style="1" customWidth="1"/>
    <col min="43" max="43" width="9.125" customWidth="1"/>
    <col min="45" max="47" width="4" bestFit="1" customWidth="1"/>
  </cols>
  <sheetData>
    <row r="1" spans="1:37" x14ac:dyDescent="0.2">
      <c r="D1" s="4" t="s">
        <v>0</v>
      </c>
      <c r="H1" s="14" t="s">
        <v>1</v>
      </c>
      <c r="L1" s="5" t="s">
        <v>2</v>
      </c>
      <c r="N1" s="5"/>
      <c r="V1" s="5" t="s">
        <v>3</v>
      </c>
      <c r="AF1" s="4" t="s">
        <v>4</v>
      </c>
      <c r="AH1" s="12" t="s">
        <v>5</v>
      </c>
      <c r="AK1" s="12" t="s">
        <v>6</v>
      </c>
    </row>
    <row r="2" spans="1:37" x14ac:dyDescent="0.2">
      <c r="A2" s="3" t="s">
        <v>7</v>
      </c>
      <c r="C2" s="3" t="s">
        <v>8</v>
      </c>
      <c r="D2" s="3" t="s">
        <v>9</v>
      </c>
      <c r="E2" s="3" t="s">
        <v>10</v>
      </c>
      <c r="G2" s="15" t="s">
        <v>11</v>
      </c>
      <c r="H2" s="15" t="s">
        <v>12</v>
      </c>
      <c r="I2" s="15" t="s">
        <v>13</v>
      </c>
      <c r="K2" s="3" t="s">
        <v>14</v>
      </c>
      <c r="L2" s="3">
        <v>10</v>
      </c>
      <c r="M2" s="3">
        <v>9</v>
      </c>
      <c r="N2" s="3">
        <v>8</v>
      </c>
      <c r="O2" s="3">
        <v>7</v>
      </c>
      <c r="P2" s="3">
        <v>6</v>
      </c>
      <c r="Q2" s="3">
        <v>5</v>
      </c>
      <c r="R2" s="3">
        <v>4</v>
      </c>
      <c r="S2" s="3">
        <v>3</v>
      </c>
      <c r="T2" s="3">
        <v>2</v>
      </c>
      <c r="U2" s="3"/>
      <c r="V2" s="3">
        <v>10</v>
      </c>
      <c r="W2" s="3">
        <v>9</v>
      </c>
      <c r="X2" s="3">
        <v>8</v>
      </c>
      <c r="Y2" s="3">
        <v>7</v>
      </c>
      <c r="Z2" s="3">
        <v>6</v>
      </c>
      <c r="AA2" s="3">
        <v>5</v>
      </c>
      <c r="AB2" s="3">
        <v>4</v>
      </c>
      <c r="AC2" s="3">
        <v>3</v>
      </c>
      <c r="AD2" s="3">
        <v>2</v>
      </c>
      <c r="AE2" s="3"/>
    </row>
    <row r="3" spans="1:37" x14ac:dyDescent="0.2">
      <c r="A3" s="3">
        <v>1</v>
      </c>
      <c r="C3" s="2">
        <v>-23</v>
      </c>
      <c r="D3" s="2">
        <v>-96</v>
      </c>
      <c r="E3" s="2">
        <v>-15</v>
      </c>
      <c r="G3" s="16">
        <v>-24.66</v>
      </c>
      <c r="H3" s="16">
        <v>-97.84</v>
      </c>
      <c r="I3" s="16">
        <v>-12.33</v>
      </c>
      <c r="L3">
        <v>-1</v>
      </c>
      <c r="M3">
        <v>-1</v>
      </c>
      <c r="N3">
        <v>-1</v>
      </c>
      <c r="O3">
        <v>-1</v>
      </c>
      <c r="P3">
        <v>-1</v>
      </c>
      <c r="Q3">
        <v>-1</v>
      </c>
      <c r="R3">
        <v>-1</v>
      </c>
      <c r="S3">
        <v>-1</v>
      </c>
      <c r="T3">
        <v>-1</v>
      </c>
      <c r="V3">
        <v>-1</v>
      </c>
      <c r="W3">
        <v>-1</v>
      </c>
      <c r="X3">
        <v>-1</v>
      </c>
      <c r="Y3">
        <v>-1</v>
      </c>
      <c r="Z3">
        <v>-1</v>
      </c>
      <c r="AA3">
        <v>-1</v>
      </c>
      <c r="AB3">
        <v>-1</v>
      </c>
      <c r="AC3">
        <v>-1</v>
      </c>
      <c r="AD3">
        <v>-1</v>
      </c>
      <c r="AF3" s="3">
        <v>-1</v>
      </c>
      <c r="AI3" s="2" t="s">
        <v>15</v>
      </c>
      <c r="AK3" s="1" t="s">
        <v>16</v>
      </c>
    </row>
    <row r="4" spans="1:37" x14ac:dyDescent="0.2">
      <c r="A4" s="3">
        <v>2</v>
      </c>
      <c r="C4" s="2">
        <v>26</v>
      </c>
      <c r="D4" s="2">
        <v>-96</v>
      </c>
      <c r="E4" s="2">
        <v>-15</v>
      </c>
      <c r="G4" s="16">
        <v>26.68</v>
      </c>
      <c r="H4" s="16">
        <v>-97.3</v>
      </c>
      <c r="I4" s="16">
        <v>-13.49</v>
      </c>
      <c r="L4">
        <v>-1</v>
      </c>
      <c r="M4">
        <v>-1</v>
      </c>
      <c r="N4">
        <v>-1</v>
      </c>
      <c r="O4">
        <v>-1</v>
      </c>
      <c r="P4">
        <v>-1</v>
      </c>
      <c r="Q4">
        <v>-1</v>
      </c>
      <c r="R4">
        <v>-1</v>
      </c>
      <c r="S4">
        <v>-1</v>
      </c>
      <c r="T4">
        <v>-1</v>
      </c>
      <c r="V4">
        <v>-1</v>
      </c>
      <c r="W4">
        <v>-1</v>
      </c>
      <c r="X4">
        <v>-1</v>
      </c>
      <c r="Y4">
        <v>-1</v>
      </c>
      <c r="Z4">
        <v>-1</v>
      </c>
      <c r="AA4">
        <v>-1</v>
      </c>
      <c r="AB4">
        <v>-1</v>
      </c>
      <c r="AC4">
        <v>-1</v>
      </c>
      <c r="AD4">
        <v>-1</v>
      </c>
      <c r="AF4" s="3">
        <v>-1</v>
      </c>
      <c r="AI4" s="2" t="s">
        <v>15</v>
      </c>
      <c r="AK4" s="1" t="s">
        <v>16</v>
      </c>
    </row>
    <row r="5" spans="1:37" x14ac:dyDescent="0.2">
      <c r="A5" s="3">
        <v>3</v>
      </c>
      <c r="C5" s="2">
        <v>23</v>
      </c>
      <c r="D5" s="2">
        <v>27</v>
      </c>
      <c r="E5" s="2">
        <v>-12</v>
      </c>
      <c r="G5" s="16">
        <v>23.96</v>
      </c>
      <c r="H5" s="16">
        <v>31.94</v>
      </c>
      <c r="I5" s="16">
        <v>-17.78</v>
      </c>
      <c r="L5">
        <v>-1</v>
      </c>
      <c r="M5">
        <v>-1</v>
      </c>
      <c r="N5">
        <v>-1</v>
      </c>
      <c r="O5">
        <v>-1</v>
      </c>
      <c r="P5">
        <v>-1</v>
      </c>
      <c r="Q5">
        <v>-1</v>
      </c>
      <c r="R5">
        <v>-1</v>
      </c>
      <c r="S5">
        <v>-1</v>
      </c>
      <c r="T5">
        <v>-1</v>
      </c>
      <c r="V5">
        <v>4</v>
      </c>
      <c r="W5">
        <v>4</v>
      </c>
      <c r="X5">
        <v>4</v>
      </c>
      <c r="Y5">
        <v>4</v>
      </c>
      <c r="Z5">
        <v>-1</v>
      </c>
      <c r="AA5">
        <v>-1</v>
      </c>
      <c r="AB5">
        <v>-1</v>
      </c>
      <c r="AC5">
        <v>-1</v>
      </c>
      <c r="AD5">
        <v>-1</v>
      </c>
      <c r="AF5" s="3">
        <v>-1</v>
      </c>
      <c r="AI5" s="2" t="s">
        <v>15</v>
      </c>
      <c r="AK5" s="1" t="s">
        <v>16</v>
      </c>
    </row>
    <row r="6" spans="1:37" x14ac:dyDescent="0.2">
      <c r="A6" s="3">
        <v>4</v>
      </c>
      <c r="C6" s="2">
        <v>-53</v>
      </c>
      <c r="D6" s="2">
        <v>-45</v>
      </c>
      <c r="E6" s="2">
        <v>-24</v>
      </c>
      <c r="G6" s="16">
        <v>-56.16</v>
      </c>
      <c r="H6" s="16">
        <v>-44.76</v>
      </c>
      <c r="I6" s="16">
        <v>-24.23</v>
      </c>
      <c r="L6">
        <v>-1</v>
      </c>
      <c r="M6">
        <v>5</v>
      </c>
      <c r="N6">
        <v>-1</v>
      </c>
      <c r="O6">
        <v>-1</v>
      </c>
      <c r="P6">
        <v>-1</v>
      </c>
      <c r="Q6">
        <v>-1</v>
      </c>
      <c r="R6">
        <v>-1</v>
      </c>
      <c r="S6">
        <v>-1</v>
      </c>
      <c r="T6">
        <v>-1</v>
      </c>
      <c r="V6">
        <v>-1</v>
      </c>
      <c r="W6">
        <v>-1</v>
      </c>
      <c r="X6">
        <v>-1</v>
      </c>
      <c r="Y6">
        <v>-1</v>
      </c>
      <c r="Z6">
        <v>-1</v>
      </c>
      <c r="AA6">
        <v>-1</v>
      </c>
      <c r="AB6">
        <v>-1</v>
      </c>
      <c r="AC6">
        <v>38</v>
      </c>
      <c r="AD6">
        <v>-1</v>
      </c>
      <c r="AF6" s="3">
        <v>-1</v>
      </c>
      <c r="AI6" s="2" t="s">
        <v>15</v>
      </c>
      <c r="AK6" s="1" t="s">
        <v>16</v>
      </c>
    </row>
    <row r="7" spans="1:37" x14ac:dyDescent="0.2">
      <c r="A7" s="3">
        <v>5</v>
      </c>
      <c r="C7" s="2">
        <v>8</v>
      </c>
      <c r="D7" s="2">
        <v>36</v>
      </c>
      <c r="E7" s="2">
        <v>-18</v>
      </c>
      <c r="G7" s="16">
        <v>8.1300000000000008</v>
      </c>
      <c r="H7" s="16">
        <v>41.12</v>
      </c>
      <c r="I7" s="16">
        <v>-24.31</v>
      </c>
      <c r="L7">
        <v>-1</v>
      </c>
      <c r="M7">
        <v>-1</v>
      </c>
      <c r="N7">
        <v>-1</v>
      </c>
      <c r="O7">
        <v>-1</v>
      </c>
      <c r="P7">
        <v>-1</v>
      </c>
      <c r="Q7">
        <v>-1</v>
      </c>
      <c r="R7">
        <v>-1</v>
      </c>
      <c r="S7">
        <v>-1</v>
      </c>
      <c r="T7">
        <v>-1</v>
      </c>
      <c r="V7">
        <v>-1</v>
      </c>
      <c r="W7">
        <v>-1</v>
      </c>
      <c r="X7">
        <v>-1</v>
      </c>
      <c r="Y7">
        <v>-1</v>
      </c>
      <c r="Z7">
        <v>-1</v>
      </c>
      <c r="AA7">
        <v>-1</v>
      </c>
      <c r="AB7">
        <v>-1</v>
      </c>
      <c r="AC7">
        <v>-1</v>
      </c>
      <c r="AD7">
        <v>-1</v>
      </c>
      <c r="AF7" s="3">
        <v>-1</v>
      </c>
      <c r="AI7" s="2" t="s">
        <v>15</v>
      </c>
      <c r="AK7" s="1" t="s">
        <v>16</v>
      </c>
    </row>
    <row r="8" spans="1:37" x14ac:dyDescent="0.2">
      <c r="A8" s="3">
        <v>6</v>
      </c>
      <c r="C8" s="2">
        <v>-20</v>
      </c>
      <c r="D8" s="2">
        <v>-24</v>
      </c>
      <c r="E8" s="2">
        <v>-18</v>
      </c>
      <c r="G8" s="16">
        <v>-21.38</v>
      </c>
      <c r="H8" s="16">
        <v>-22.22</v>
      </c>
      <c r="I8" s="16">
        <v>-19.97</v>
      </c>
      <c r="L8">
        <v>2</v>
      </c>
      <c r="M8">
        <v>-1</v>
      </c>
      <c r="N8">
        <v>-1</v>
      </c>
      <c r="O8">
        <v>-1</v>
      </c>
      <c r="P8">
        <v>-1</v>
      </c>
      <c r="Q8">
        <v>-1</v>
      </c>
      <c r="R8">
        <v>-1</v>
      </c>
      <c r="S8">
        <v>-1</v>
      </c>
      <c r="T8">
        <v>-1</v>
      </c>
      <c r="V8">
        <v>2</v>
      </c>
      <c r="W8">
        <v>2</v>
      </c>
      <c r="X8">
        <v>-1</v>
      </c>
      <c r="Y8">
        <v>-1</v>
      </c>
      <c r="Z8">
        <v>-1</v>
      </c>
      <c r="AA8">
        <v>-1</v>
      </c>
      <c r="AB8">
        <v>-1</v>
      </c>
      <c r="AC8">
        <v>-1</v>
      </c>
      <c r="AD8">
        <v>-1</v>
      </c>
      <c r="AF8" s="3">
        <v>-1</v>
      </c>
      <c r="AI8" s="2" t="s">
        <v>15</v>
      </c>
      <c r="AK8" s="1" t="s">
        <v>16</v>
      </c>
    </row>
    <row r="9" spans="1:37" x14ac:dyDescent="0.2">
      <c r="A9" s="3">
        <v>7</v>
      </c>
      <c r="C9" s="2">
        <v>17</v>
      </c>
      <c r="D9" s="2">
        <v>-30</v>
      </c>
      <c r="E9" s="2">
        <v>-15</v>
      </c>
      <c r="G9" s="16">
        <v>17.440000000000001</v>
      </c>
      <c r="H9" s="16">
        <v>-28.06</v>
      </c>
      <c r="I9" s="16">
        <v>-17.32</v>
      </c>
      <c r="L9">
        <v>2</v>
      </c>
      <c r="M9">
        <v>-1</v>
      </c>
      <c r="N9">
        <v>-1</v>
      </c>
      <c r="O9">
        <v>-1</v>
      </c>
      <c r="P9">
        <v>-1</v>
      </c>
      <c r="Q9">
        <v>-1</v>
      </c>
      <c r="R9">
        <v>-1</v>
      </c>
      <c r="S9">
        <v>-1</v>
      </c>
      <c r="T9">
        <v>-1</v>
      </c>
      <c r="V9">
        <v>2</v>
      </c>
      <c r="W9">
        <v>2</v>
      </c>
      <c r="X9">
        <v>-1</v>
      </c>
      <c r="Y9">
        <v>-1</v>
      </c>
      <c r="Z9">
        <v>-1</v>
      </c>
      <c r="AA9">
        <v>-1</v>
      </c>
      <c r="AB9">
        <v>-1</v>
      </c>
      <c r="AC9">
        <v>-1</v>
      </c>
      <c r="AD9">
        <v>-1</v>
      </c>
      <c r="AF9" s="3">
        <v>-1</v>
      </c>
      <c r="AI9" s="2" t="s">
        <v>15</v>
      </c>
      <c r="AK9" s="1" t="s">
        <v>16</v>
      </c>
    </row>
    <row r="10" spans="1:37" x14ac:dyDescent="0.2">
      <c r="A10" s="3">
        <v>8</v>
      </c>
      <c r="C10" s="2">
        <v>-35</v>
      </c>
      <c r="D10" s="2">
        <v>-30</v>
      </c>
      <c r="E10" s="2">
        <v>-24</v>
      </c>
      <c r="G10" s="16">
        <v>-37.26</v>
      </c>
      <c r="H10" s="16">
        <v>-28.8</v>
      </c>
      <c r="I10" s="16">
        <v>-25.58</v>
      </c>
      <c r="L10">
        <v>6</v>
      </c>
      <c r="M10">
        <v>-1</v>
      </c>
      <c r="N10">
        <v>-1</v>
      </c>
      <c r="O10">
        <v>-1</v>
      </c>
      <c r="P10">
        <v>-1</v>
      </c>
      <c r="Q10">
        <v>-1</v>
      </c>
      <c r="R10">
        <v>-1</v>
      </c>
      <c r="S10">
        <v>-1</v>
      </c>
      <c r="T10">
        <v>-1</v>
      </c>
      <c r="V10">
        <v>-1</v>
      </c>
      <c r="W10">
        <v>-1</v>
      </c>
      <c r="X10">
        <v>-1</v>
      </c>
      <c r="Y10">
        <v>-1</v>
      </c>
      <c r="Z10">
        <v>-1</v>
      </c>
      <c r="AA10">
        <v>-1</v>
      </c>
      <c r="AB10">
        <v>-1</v>
      </c>
      <c r="AC10">
        <v>-1</v>
      </c>
      <c r="AD10">
        <v>-1</v>
      </c>
      <c r="AF10" s="3">
        <v>-1</v>
      </c>
      <c r="AI10" s="2" t="s">
        <v>15</v>
      </c>
      <c r="AK10" s="1" t="s">
        <v>16</v>
      </c>
    </row>
    <row r="11" spans="1:37" x14ac:dyDescent="0.2">
      <c r="A11" s="3">
        <v>9</v>
      </c>
      <c r="C11" s="2">
        <v>62</v>
      </c>
      <c r="D11" s="2">
        <v>-27</v>
      </c>
      <c r="E11" s="2">
        <v>-15</v>
      </c>
      <c r="G11" s="16">
        <v>64.599999999999994</v>
      </c>
      <c r="H11" s="16">
        <v>-24.41</v>
      </c>
      <c r="I11" s="16">
        <v>-18.57</v>
      </c>
      <c r="L11">
        <v>-1</v>
      </c>
      <c r="M11">
        <v>-1</v>
      </c>
      <c r="N11">
        <v>-1</v>
      </c>
      <c r="O11">
        <v>-1</v>
      </c>
      <c r="P11">
        <v>-1</v>
      </c>
      <c r="Q11">
        <v>-1</v>
      </c>
      <c r="R11">
        <v>-1</v>
      </c>
      <c r="S11">
        <v>-1</v>
      </c>
      <c r="T11">
        <v>-1</v>
      </c>
      <c r="V11">
        <v>2</v>
      </c>
      <c r="W11">
        <v>2</v>
      </c>
      <c r="X11">
        <v>2</v>
      </c>
      <c r="Y11">
        <v>-1</v>
      </c>
      <c r="Z11">
        <v>-1</v>
      </c>
      <c r="AA11">
        <v>-1</v>
      </c>
      <c r="AB11">
        <v>-1</v>
      </c>
      <c r="AC11">
        <v>-1</v>
      </c>
      <c r="AD11">
        <v>-1</v>
      </c>
      <c r="AF11" s="3">
        <v>-1</v>
      </c>
      <c r="AI11" s="2" t="s">
        <v>15</v>
      </c>
      <c r="AK11" s="1" t="s">
        <v>16</v>
      </c>
    </row>
    <row r="12" spans="1:37" x14ac:dyDescent="0.2">
      <c r="A12" s="3">
        <v>10</v>
      </c>
      <c r="C12" s="2">
        <v>50</v>
      </c>
      <c r="D12" s="2">
        <v>-36</v>
      </c>
      <c r="E12" s="2">
        <v>-24</v>
      </c>
      <c r="G12" s="16">
        <v>51.79</v>
      </c>
      <c r="H12" s="16">
        <v>-34.17</v>
      </c>
      <c r="I12" s="16">
        <v>-27.23</v>
      </c>
      <c r="L12">
        <v>-1</v>
      </c>
      <c r="M12">
        <v>-1</v>
      </c>
      <c r="N12">
        <v>-1</v>
      </c>
      <c r="O12">
        <v>-1</v>
      </c>
      <c r="P12">
        <v>-1</v>
      </c>
      <c r="Q12">
        <v>-1</v>
      </c>
      <c r="R12">
        <v>-1</v>
      </c>
      <c r="S12">
        <v>-1</v>
      </c>
      <c r="T12">
        <v>-1</v>
      </c>
      <c r="V12">
        <v>-1</v>
      </c>
      <c r="W12">
        <v>-1</v>
      </c>
      <c r="X12">
        <v>-1</v>
      </c>
      <c r="Y12">
        <v>-1</v>
      </c>
      <c r="Z12">
        <v>-1</v>
      </c>
      <c r="AA12">
        <v>-1</v>
      </c>
      <c r="AB12">
        <v>-1</v>
      </c>
      <c r="AC12">
        <v>-1</v>
      </c>
      <c r="AD12">
        <v>-1</v>
      </c>
      <c r="AF12" s="3">
        <v>-1</v>
      </c>
      <c r="AI12" s="2" t="s">
        <v>15</v>
      </c>
      <c r="AK12" s="1" t="s">
        <v>16</v>
      </c>
    </row>
    <row r="13" spans="1:37" x14ac:dyDescent="0.2">
      <c r="A13" s="3">
        <v>11</v>
      </c>
      <c r="C13" s="2">
        <v>53</v>
      </c>
      <c r="D13" s="2">
        <v>-33</v>
      </c>
      <c r="E13" s="2">
        <v>-14</v>
      </c>
      <c r="G13" s="16">
        <v>55.18</v>
      </c>
      <c r="H13" s="16">
        <v>-30.8</v>
      </c>
      <c r="I13" s="16">
        <v>-16.93</v>
      </c>
      <c r="L13">
        <v>-1</v>
      </c>
      <c r="M13">
        <v>-1</v>
      </c>
      <c r="N13">
        <v>-1</v>
      </c>
      <c r="O13">
        <v>-1</v>
      </c>
      <c r="P13">
        <v>-1</v>
      </c>
      <c r="Q13">
        <v>-1</v>
      </c>
      <c r="R13">
        <v>-1</v>
      </c>
      <c r="S13">
        <v>-1</v>
      </c>
      <c r="T13">
        <v>-1</v>
      </c>
      <c r="V13">
        <v>-1</v>
      </c>
      <c r="W13">
        <v>-1</v>
      </c>
      <c r="X13">
        <v>-1</v>
      </c>
      <c r="Y13">
        <v>-1</v>
      </c>
      <c r="Z13">
        <v>-1</v>
      </c>
      <c r="AA13">
        <v>-1</v>
      </c>
      <c r="AB13">
        <v>-1</v>
      </c>
      <c r="AC13">
        <v>-1</v>
      </c>
      <c r="AD13">
        <v>-1</v>
      </c>
      <c r="AF13" s="3">
        <v>-1</v>
      </c>
      <c r="AI13" s="2" t="s">
        <v>15</v>
      </c>
      <c r="AK13" s="1" t="s">
        <v>16</v>
      </c>
    </row>
    <row r="14" spans="1:37" x14ac:dyDescent="0.2">
      <c r="A14" s="3">
        <v>12</v>
      </c>
      <c r="C14" s="2">
        <v>32</v>
      </c>
      <c r="D14" s="2">
        <v>33</v>
      </c>
      <c r="E14" s="2">
        <v>-6</v>
      </c>
      <c r="G14" s="16">
        <v>33.549999999999997</v>
      </c>
      <c r="H14" s="16">
        <v>38.46</v>
      </c>
      <c r="I14" s="16">
        <v>-12.03</v>
      </c>
      <c r="L14">
        <v>4</v>
      </c>
      <c r="M14">
        <v>-1</v>
      </c>
      <c r="N14">
        <v>-1</v>
      </c>
      <c r="O14">
        <v>-1</v>
      </c>
      <c r="P14">
        <v>-1</v>
      </c>
      <c r="Q14">
        <v>-1</v>
      </c>
      <c r="R14">
        <v>-1</v>
      </c>
      <c r="S14">
        <v>-1</v>
      </c>
      <c r="T14">
        <v>-1</v>
      </c>
      <c r="V14">
        <v>4</v>
      </c>
      <c r="W14">
        <v>4</v>
      </c>
      <c r="X14">
        <v>4</v>
      </c>
      <c r="Y14">
        <v>4</v>
      </c>
      <c r="Z14">
        <v>-1</v>
      </c>
      <c r="AA14">
        <v>-1</v>
      </c>
      <c r="AB14">
        <v>-1</v>
      </c>
      <c r="AC14">
        <v>-1</v>
      </c>
      <c r="AD14">
        <v>-1</v>
      </c>
      <c r="AF14" s="3">
        <v>-1</v>
      </c>
      <c r="AI14" s="2" t="s">
        <v>15</v>
      </c>
      <c r="AK14" s="1" t="s">
        <v>16</v>
      </c>
    </row>
    <row r="15" spans="1:37" x14ac:dyDescent="0.2">
      <c r="A15" s="3">
        <v>47</v>
      </c>
      <c r="C15" s="2">
        <v>-4</v>
      </c>
      <c r="D15" s="2">
        <v>-2</v>
      </c>
      <c r="E15" s="2">
        <v>53</v>
      </c>
      <c r="G15" s="16">
        <v>-2.88</v>
      </c>
      <c r="H15" s="16">
        <v>2.38</v>
      </c>
      <c r="I15" s="16">
        <v>53.21</v>
      </c>
      <c r="L15">
        <v>1</v>
      </c>
      <c r="M15">
        <v>1</v>
      </c>
      <c r="N15">
        <v>1</v>
      </c>
      <c r="O15">
        <v>1</v>
      </c>
      <c r="P15">
        <v>1</v>
      </c>
      <c r="Q15">
        <v>1</v>
      </c>
      <c r="R15">
        <v>32</v>
      </c>
      <c r="S15">
        <v>32</v>
      </c>
      <c r="T15">
        <v>32</v>
      </c>
      <c r="V15">
        <v>1</v>
      </c>
      <c r="W15">
        <v>1</v>
      </c>
      <c r="X15">
        <v>1</v>
      </c>
      <c r="Y15">
        <v>1</v>
      </c>
      <c r="Z15">
        <v>1</v>
      </c>
      <c r="AA15">
        <v>1</v>
      </c>
      <c r="AB15">
        <v>30</v>
      </c>
      <c r="AC15">
        <v>30</v>
      </c>
      <c r="AD15">
        <v>30</v>
      </c>
      <c r="AF15" s="3">
        <v>3</v>
      </c>
      <c r="AH15" s="6"/>
      <c r="AI15" s="2" t="s">
        <v>17</v>
      </c>
      <c r="AK15" s="1" t="s">
        <v>18</v>
      </c>
    </row>
    <row r="16" spans="1:37" x14ac:dyDescent="0.2">
      <c r="A16" s="3">
        <v>48</v>
      </c>
      <c r="C16" s="2">
        <v>51</v>
      </c>
      <c r="D16" s="2">
        <v>-31</v>
      </c>
      <c r="E16" s="2">
        <v>34</v>
      </c>
      <c r="G16" s="16">
        <v>54.22</v>
      </c>
      <c r="H16" s="16">
        <v>-27.83</v>
      </c>
      <c r="I16" s="16">
        <v>33.64</v>
      </c>
      <c r="L16">
        <v>1</v>
      </c>
      <c r="M16">
        <v>1</v>
      </c>
      <c r="N16">
        <v>1</v>
      </c>
      <c r="O16">
        <v>1</v>
      </c>
      <c r="P16">
        <v>1</v>
      </c>
      <c r="Q16">
        <v>1</v>
      </c>
      <c r="R16">
        <v>32</v>
      </c>
      <c r="S16">
        <v>32</v>
      </c>
      <c r="T16">
        <v>32</v>
      </c>
      <c r="V16">
        <v>1</v>
      </c>
      <c r="W16">
        <v>1</v>
      </c>
      <c r="X16">
        <v>1</v>
      </c>
      <c r="Y16">
        <v>1</v>
      </c>
      <c r="Z16">
        <v>1</v>
      </c>
      <c r="AA16">
        <v>1</v>
      </c>
      <c r="AB16">
        <v>30</v>
      </c>
      <c r="AC16">
        <v>30</v>
      </c>
      <c r="AD16">
        <v>30</v>
      </c>
      <c r="AF16" s="3">
        <v>3</v>
      </c>
      <c r="AH16" s="6"/>
      <c r="AI16" s="2" t="s">
        <v>17</v>
      </c>
      <c r="AK16" s="1" t="s">
        <v>18</v>
      </c>
    </row>
    <row r="17" spans="1:37" x14ac:dyDescent="0.2">
      <c r="A17" s="3">
        <v>49</v>
      </c>
      <c r="C17" s="2">
        <v>17</v>
      </c>
      <c r="D17" s="2">
        <v>-12</v>
      </c>
      <c r="E17" s="2">
        <v>63</v>
      </c>
      <c r="G17" s="16">
        <v>19.329999999999998</v>
      </c>
      <c r="H17" s="16">
        <v>-7.71</v>
      </c>
      <c r="I17" s="16">
        <v>63.88</v>
      </c>
      <c r="L17">
        <v>1</v>
      </c>
      <c r="M17">
        <v>1</v>
      </c>
      <c r="N17">
        <v>1</v>
      </c>
      <c r="O17">
        <v>1</v>
      </c>
      <c r="P17">
        <v>1</v>
      </c>
      <c r="Q17">
        <v>1</v>
      </c>
      <c r="R17">
        <v>1</v>
      </c>
      <c r="S17">
        <v>1</v>
      </c>
      <c r="T17">
        <v>32</v>
      </c>
      <c r="V17">
        <v>1</v>
      </c>
      <c r="W17">
        <v>1</v>
      </c>
      <c r="X17">
        <v>1</v>
      </c>
      <c r="Y17">
        <v>1</v>
      </c>
      <c r="Z17">
        <v>1</v>
      </c>
      <c r="AA17">
        <v>1</v>
      </c>
      <c r="AB17">
        <v>1</v>
      </c>
      <c r="AC17">
        <v>1</v>
      </c>
      <c r="AD17">
        <v>30</v>
      </c>
      <c r="AF17" s="3">
        <v>3</v>
      </c>
      <c r="AH17" s="6"/>
      <c r="AI17" s="2" t="s">
        <v>17</v>
      </c>
      <c r="AK17" s="1" t="s">
        <v>18</v>
      </c>
    </row>
    <row r="18" spans="1:37" x14ac:dyDescent="0.2">
      <c r="A18" s="3">
        <v>50</v>
      </c>
      <c r="C18" s="2">
        <v>-17</v>
      </c>
      <c r="D18" s="2">
        <v>-9</v>
      </c>
      <c r="E18" s="2">
        <v>69</v>
      </c>
      <c r="G18" s="16">
        <v>-16.14</v>
      </c>
      <c r="H18" s="16">
        <v>-4.82</v>
      </c>
      <c r="I18" s="16">
        <v>70.83</v>
      </c>
      <c r="L18">
        <v>1</v>
      </c>
      <c r="M18">
        <v>1</v>
      </c>
      <c r="N18">
        <v>1</v>
      </c>
      <c r="O18">
        <v>1</v>
      </c>
      <c r="P18">
        <v>1</v>
      </c>
      <c r="Q18">
        <v>1</v>
      </c>
      <c r="R18">
        <v>32</v>
      </c>
      <c r="S18">
        <v>1</v>
      </c>
      <c r="T18">
        <v>32</v>
      </c>
      <c r="V18">
        <v>1</v>
      </c>
      <c r="W18">
        <v>1</v>
      </c>
      <c r="X18">
        <v>1</v>
      </c>
      <c r="Y18">
        <v>1</v>
      </c>
      <c r="Z18">
        <v>1</v>
      </c>
      <c r="AA18">
        <v>1</v>
      </c>
      <c r="AB18">
        <v>1</v>
      </c>
      <c r="AC18">
        <v>1</v>
      </c>
      <c r="AD18">
        <v>30</v>
      </c>
      <c r="AF18" s="3">
        <v>3</v>
      </c>
      <c r="AH18" s="6"/>
      <c r="AI18" s="2" t="s">
        <v>17</v>
      </c>
      <c r="AK18" s="1" t="s">
        <v>18</v>
      </c>
    </row>
    <row r="19" spans="1:37" x14ac:dyDescent="0.2">
      <c r="A19" s="3">
        <v>51</v>
      </c>
      <c r="C19" s="2">
        <v>-11</v>
      </c>
      <c r="D19" s="2">
        <v>-6</v>
      </c>
      <c r="E19" s="2">
        <v>42</v>
      </c>
      <c r="G19" s="16">
        <v>-10.48</v>
      </c>
      <c r="H19" s="16">
        <v>-2.1</v>
      </c>
      <c r="I19" s="16">
        <v>42.02</v>
      </c>
      <c r="L19">
        <v>1</v>
      </c>
      <c r="M19">
        <v>1</v>
      </c>
      <c r="N19">
        <v>1</v>
      </c>
      <c r="O19">
        <v>1</v>
      </c>
      <c r="P19">
        <v>1</v>
      </c>
      <c r="Q19">
        <v>1</v>
      </c>
      <c r="R19">
        <v>32</v>
      </c>
      <c r="S19">
        <v>32</v>
      </c>
      <c r="T19">
        <v>32</v>
      </c>
      <c r="V19">
        <v>1</v>
      </c>
      <c r="W19">
        <v>1</v>
      </c>
      <c r="X19">
        <v>1</v>
      </c>
      <c r="Y19">
        <v>1</v>
      </c>
      <c r="Z19">
        <v>1</v>
      </c>
      <c r="AA19">
        <v>1</v>
      </c>
      <c r="AB19">
        <v>1</v>
      </c>
      <c r="AC19">
        <v>30</v>
      </c>
      <c r="AD19">
        <v>30</v>
      </c>
      <c r="AF19" s="3">
        <v>3</v>
      </c>
      <c r="AH19" s="6"/>
      <c r="AI19" s="2" t="s">
        <v>17</v>
      </c>
      <c r="AK19" s="1" t="s">
        <v>18</v>
      </c>
    </row>
    <row r="20" spans="1:37" x14ac:dyDescent="0.2">
      <c r="A20" s="3">
        <v>52</v>
      </c>
      <c r="C20" s="2">
        <v>35</v>
      </c>
      <c r="D20" s="2">
        <v>-3</v>
      </c>
      <c r="E20" s="2">
        <v>0</v>
      </c>
      <c r="G20" s="16">
        <v>36.729999999999997</v>
      </c>
      <c r="H20" s="16">
        <v>0.78</v>
      </c>
      <c r="I20" s="16">
        <v>-3.57</v>
      </c>
      <c r="L20">
        <v>1</v>
      </c>
      <c r="M20">
        <v>1</v>
      </c>
      <c r="N20">
        <v>1</v>
      </c>
      <c r="O20">
        <v>1</v>
      </c>
      <c r="P20">
        <v>1</v>
      </c>
      <c r="Q20">
        <v>1</v>
      </c>
      <c r="R20">
        <v>32</v>
      </c>
      <c r="S20">
        <v>32</v>
      </c>
      <c r="T20">
        <v>32</v>
      </c>
      <c r="V20">
        <v>1</v>
      </c>
      <c r="W20">
        <v>1</v>
      </c>
      <c r="X20">
        <v>1</v>
      </c>
      <c r="Y20">
        <v>1</v>
      </c>
      <c r="Z20">
        <v>1</v>
      </c>
      <c r="AA20">
        <v>1</v>
      </c>
      <c r="AB20">
        <v>30</v>
      </c>
      <c r="AC20">
        <v>30</v>
      </c>
      <c r="AD20">
        <v>30</v>
      </c>
      <c r="AF20" s="3">
        <v>3</v>
      </c>
      <c r="AH20" s="6"/>
      <c r="AI20" s="2" t="s">
        <v>17</v>
      </c>
      <c r="AK20" s="1" t="s">
        <v>18</v>
      </c>
    </row>
    <row r="21" spans="1:37" x14ac:dyDescent="0.2">
      <c r="A21" s="3">
        <v>53</v>
      </c>
      <c r="C21" s="2">
        <v>11</v>
      </c>
      <c r="D21" s="2">
        <v>-6</v>
      </c>
      <c r="E21" s="2">
        <v>69</v>
      </c>
      <c r="G21" s="16">
        <v>13.21</v>
      </c>
      <c r="H21" s="16">
        <v>-1.36</v>
      </c>
      <c r="I21" s="16">
        <v>69.98</v>
      </c>
      <c r="L21">
        <v>1</v>
      </c>
      <c r="M21">
        <v>1</v>
      </c>
      <c r="N21">
        <v>1</v>
      </c>
      <c r="O21">
        <v>1</v>
      </c>
      <c r="P21">
        <v>1</v>
      </c>
      <c r="Q21">
        <v>1</v>
      </c>
      <c r="R21">
        <v>32</v>
      </c>
      <c r="S21">
        <v>32</v>
      </c>
      <c r="T21">
        <v>32</v>
      </c>
      <c r="V21">
        <v>1</v>
      </c>
      <c r="W21">
        <v>1</v>
      </c>
      <c r="X21">
        <v>1</v>
      </c>
      <c r="Y21">
        <v>1</v>
      </c>
      <c r="Z21">
        <v>1</v>
      </c>
      <c r="AA21">
        <v>1</v>
      </c>
      <c r="AB21">
        <v>30</v>
      </c>
      <c r="AC21">
        <v>30</v>
      </c>
      <c r="AD21">
        <v>30</v>
      </c>
      <c r="AF21" s="3">
        <v>3</v>
      </c>
      <c r="AH21" s="6"/>
      <c r="AI21" s="2" t="s">
        <v>17</v>
      </c>
      <c r="AK21" s="1" t="s">
        <v>18</v>
      </c>
    </row>
    <row r="22" spans="1:37" x14ac:dyDescent="0.2">
      <c r="A22" s="3">
        <v>54</v>
      </c>
      <c r="C22" s="2">
        <v>5</v>
      </c>
      <c r="D22" s="2">
        <v>3</v>
      </c>
      <c r="E22" s="2">
        <v>51</v>
      </c>
      <c r="G22" s="16">
        <v>6.52</v>
      </c>
      <c r="H22" s="16">
        <v>7.69</v>
      </c>
      <c r="I22" s="16">
        <v>50.58</v>
      </c>
      <c r="L22">
        <v>1</v>
      </c>
      <c r="M22">
        <v>1</v>
      </c>
      <c r="N22">
        <v>1</v>
      </c>
      <c r="O22">
        <v>1</v>
      </c>
      <c r="P22">
        <v>1</v>
      </c>
      <c r="Q22">
        <v>1</v>
      </c>
      <c r="R22">
        <v>32</v>
      </c>
      <c r="S22">
        <v>32</v>
      </c>
      <c r="T22">
        <v>32</v>
      </c>
      <c r="V22">
        <v>1</v>
      </c>
      <c r="W22">
        <v>1</v>
      </c>
      <c r="X22">
        <v>1</v>
      </c>
      <c r="Y22">
        <v>1</v>
      </c>
      <c r="Z22">
        <v>1</v>
      </c>
      <c r="AA22">
        <v>1</v>
      </c>
      <c r="AB22">
        <v>30</v>
      </c>
      <c r="AC22">
        <v>30</v>
      </c>
      <c r="AD22">
        <v>30</v>
      </c>
      <c r="AF22" s="3">
        <v>3</v>
      </c>
      <c r="AH22" s="6"/>
      <c r="AI22" s="2" t="s">
        <v>17</v>
      </c>
      <c r="AK22" s="1" t="s">
        <v>18</v>
      </c>
    </row>
    <row r="23" spans="1:37" x14ac:dyDescent="0.2">
      <c r="A23" s="3">
        <v>55</v>
      </c>
      <c r="C23" s="2">
        <v>-43</v>
      </c>
      <c r="D23" s="2">
        <v>-3</v>
      </c>
      <c r="E23" s="2">
        <v>10</v>
      </c>
      <c r="G23" s="16">
        <v>-44.76</v>
      </c>
      <c r="H23" s="16">
        <v>0.1</v>
      </c>
      <c r="I23" s="16">
        <v>8.83</v>
      </c>
      <c r="L23">
        <v>1</v>
      </c>
      <c r="M23">
        <v>1</v>
      </c>
      <c r="N23">
        <v>1</v>
      </c>
      <c r="O23">
        <v>1</v>
      </c>
      <c r="P23">
        <v>1</v>
      </c>
      <c r="Q23">
        <v>1</v>
      </c>
      <c r="R23">
        <v>32</v>
      </c>
      <c r="S23">
        <v>32</v>
      </c>
      <c r="T23">
        <v>32</v>
      </c>
      <c r="V23">
        <v>1</v>
      </c>
      <c r="W23">
        <v>1</v>
      </c>
      <c r="X23">
        <v>1</v>
      </c>
      <c r="Y23">
        <v>1</v>
      </c>
      <c r="Z23">
        <v>1</v>
      </c>
      <c r="AA23">
        <v>1</v>
      </c>
      <c r="AB23">
        <v>30</v>
      </c>
      <c r="AC23">
        <v>30</v>
      </c>
      <c r="AD23">
        <v>30</v>
      </c>
      <c r="AF23" s="3">
        <v>3</v>
      </c>
      <c r="AH23" s="6"/>
      <c r="AI23" s="2" t="s">
        <v>17</v>
      </c>
      <c r="AK23" s="1" t="s">
        <v>18</v>
      </c>
    </row>
    <row r="24" spans="1:37" x14ac:dyDescent="0.2">
      <c r="A24" s="3">
        <v>56</v>
      </c>
      <c r="C24" s="2">
        <v>47</v>
      </c>
      <c r="D24" s="2">
        <v>4</v>
      </c>
      <c r="E24" s="2">
        <v>3</v>
      </c>
      <c r="G24" s="16">
        <v>49.4</v>
      </c>
      <c r="H24" s="16">
        <v>8.32</v>
      </c>
      <c r="I24" s="16">
        <v>-1.1200000000000001</v>
      </c>
      <c r="L24">
        <v>1</v>
      </c>
      <c r="M24">
        <v>1</v>
      </c>
      <c r="N24">
        <v>1</v>
      </c>
      <c r="O24">
        <v>1</v>
      </c>
      <c r="P24">
        <v>1</v>
      </c>
      <c r="Q24">
        <v>1</v>
      </c>
      <c r="R24">
        <v>32</v>
      </c>
      <c r="S24">
        <v>32</v>
      </c>
      <c r="T24">
        <v>32</v>
      </c>
      <c r="V24">
        <v>1</v>
      </c>
      <c r="W24">
        <v>1</v>
      </c>
      <c r="X24">
        <v>1</v>
      </c>
      <c r="Y24">
        <v>1</v>
      </c>
      <c r="Z24">
        <v>1</v>
      </c>
      <c r="AA24">
        <v>1</v>
      </c>
      <c r="AB24">
        <v>30</v>
      </c>
      <c r="AC24">
        <v>30</v>
      </c>
      <c r="AD24">
        <v>30</v>
      </c>
      <c r="AF24" s="3">
        <v>3</v>
      </c>
      <c r="AH24" s="6"/>
      <c r="AI24" s="2" t="s">
        <v>17</v>
      </c>
      <c r="AK24" s="1" t="s">
        <v>18</v>
      </c>
    </row>
    <row r="25" spans="1:37" x14ac:dyDescent="0.2">
      <c r="A25" s="3">
        <v>57</v>
      </c>
      <c r="C25" s="2">
        <v>-33</v>
      </c>
      <c r="D25" s="2">
        <v>0</v>
      </c>
      <c r="E25" s="2">
        <v>6</v>
      </c>
      <c r="G25" s="16">
        <v>-34.369999999999997</v>
      </c>
      <c r="H25" s="16">
        <v>3.29</v>
      </c>
      <c r="I25" s="16">
        <v>4.1900000000000004</v>
      </c>
      <c r="L25">
        <v>1</v>
      </c>
      <c r="M25">
        <v>1</v>
      </c>
      <c r="N25">
        <v>1</v>
      </c>
      <c r="O25">
        <v>1</v>
      </c>
      <c r="P25">
        <v>1</v>
      </c>
      <c r="Q25">
        <v>1</v>
      </c>
      <c r="R25">
        <v>32</v>
      </c>
      <c r="S25">
        <v>32</v>
      </c>
      <c r="T25">
        <v>32</v>
      </c>
      <c r="V25">
        <v>1</v>
      </c>
      <c r="W25">
        <v>1</v>
      </c>
      <c r="X25">
        <v>1</v>
      </c>
      <c r="Y25">
        <v>1</v>
      </c>
      <c r="Z25">
        <v>1</v>
      </c>
      <c r="AA25">
        <v>1</v>
      </c>
      <c r="AB25">
        <v>30</v>
      </c>
      <c r="AC25">
        <v>30</v>
      </c>
      <c r="AD25">
        <v>30</v>
      </c>
      <c r="AF25" s="3">
        <v>3</v>
      </c>
      <c r="AH25" s="6"/>
      <c r="AI25" s="2" t="s">
        <v>17</v>
      </c>
      <c r="AK25" s="1" t="s">
        <v>18</v>
      </c>
    </row>
    <row r="26" spans="1:37" x14ac:dyDescent="0.2">
      <c r="A26" s="3">
        <v>58</v>
      </c>
      <c r="C26" s="2">
        <v>-49</v>
      </c>
      <c r="D26" s="2">
        <v>5</v>
      </c>
      <c r="E26" s="2">
        <v>0</v>
      </c>
      <c r="G26" s="16">
        <v>-51.26</v>
      </c>
      <c r="H26" s="16">
        <v>8.26</v>
      </c>
      <c r="I26" s="16">
        <v>-2.06</v>
      </c>
      <c r="L26">
        <v>1</v>
      </c>
      <c r="M26">
        <v>1</v>
      </c>
      <c r="N26">
        <v>1</v>
      </c>
      <c r="O26">
        <v>1</v>
      </c>
      <c r="P26">
        <v>1</v>
      </c>
      <c r="Q26">
        <v>1</v>
      </c>
      <c r="R26">
        <v>32</v>
      </c>
      <c r="S26">
        <v>32</v>
      </c>
      <c r="T26">
        <v>32</v>
      </c>
      <c r="V26">
        <v>1</v>
      </c>
      <c r="W26">
        <v>1</v>
      </c>
      <c r="X26">
        <v>1</v>
      </c>
      <c r="Y26">
        <v>1</v>
      </c>
      <c r="Z26">
        <v>1</v>
      </c>
      <c r="AA26">
        <v>1</v>
      </c>
      <c r="AB26">
        <v>30</v>
      </c>
      <c r="AC26">
        <v>30</v>
      </c>
      <c r="AD26">
        <v>30</v>
      </c>
      <c r="AF26" s="3">
        <v>3</v>
      </c>
      <c r="AH26" s="6"/>
      <c r="AI26" s="2" t="s">
        <v>17</v>
      </c>
      <c r="AK26" s="1" t="s">
        <v>18</v>
      </c>
    </row>
    <row r="27" spans="1:37" x14ac:dyDescent="0.2">
      <c r="A27" s="3">
        <v>59</v>
      </c>
      <c r="C27" s="2">
        <v>-6</v>
      </c>
      <c r="D27" s="2">
        <v>13</v>
      </c>
      <c r="E27" s="2">
        <v>36</v>
      </c>
      <c r="G27" s="16">
        <v>-5.33</v>
      </c>
      <c r="H27" s="16">
        <v>17.8</v>
      </c>
      <c r="I27" s="16">
        <v>34.409999999999997</v>
      </c>
      <c r="L27">
        <v>1</v>
      </c>
      <c r="M27">
        <v>1</v>
      </c>
      <c r="N27">
        <v>1</v>
      </c>
      <c r="O27">
        <v>1</v>
      </c>
      <c r="P27">
        <v>1</v>
      </c>
      <c r="Q27">
        <v>1</v>
      </c>
      <c r="R27">
        <v>32</v>
      </c>
      <c r="S27">
        <v>32</v>
      </c>
      <c r="T27">
        <v>32</v>
      </c>
      <c r="V27">
        <v>1</v>
      </c>
      <c r="W27">
        <v>1</v>
      </c>
      <c r="X27">
        <v>1</v>
      </c>
      <c r="Y27">
        <v>1</v>
      </c>
      <c r="Z27">
        <v>1</v>
      </c>
      <c r="AA27">
        <v>1</v>
      </c>
      <c r="AB27">
        <v>30</v>
      </c>
      <c r="AC27">
        <v>30</v>
      </c>
      <c r="AD27">
        <v>30</v>
      </c>
      <c r="AF27" s="3">
        <v>3</v>
      </c>
      <c r="AH27" s="6"/>
      <c r="AI27" s="2" t="s">
        <v>17</v>
      </c>
      <c r="AK27" s="1" t="s">
        <v>18</v>
      </c>
    </row>
    <row r="28" spans="1:37" x14ac:dyDescent="0.2">
      <c r="A28" s="3">
        <v>60</v>
      </c>
      <c r="C28" s="2">
        <v>34</v>
      </c>
      <c r="D28" s="2">
        <v>6</v>
      </c>
      <c r="E28" s="2">
        <v>5</v>
      </c>
      <c r="G28" s="16">
        <v>35.83</v>
      </c>
      <c r="H28" s="16">
        <v>10.32</v>
      </c>
      <c r="I28" s="16">
        <v>1.18</v>
      </c>
      <c r="L28">
        <v>1</v>
      </c>
      <c r="M28">
        <v>1</v>
      </c>
      <c r="N28">
        <v>1</v>
      </c>
      <c r="O28">
        <v>1</v>
      </c>
      <c r="P28">
        <v>1</v>
      </c>
      <c r="Q28">
        <v>1</v>
      </c>
      <c r="R28">
        <v>32</v>
      </c>
      <c r="S28">
        <v>32</v>
      </c>
      <c r="T28">
        <v>32</v>
      </c>
      <c r="V28">
        <v>1</v>
      </c>
      <c r="W28">
        <v>1</v>
      </c>
      <c r="X28">
        <v>1</v>
      </c>
      <c r="Y28">
        <v>1</v>
      </c>
      <c r="Z28">
        <v>1</v>
      </c>
      <c r="AA28">
        <v>1</v>
      </c>
      <c r="AB28">
        <v>30</v>
      </c>
      <c r="AC28">
        <v>30</v>
      </c>
      <c r="AD28">
        <v>30</v>
      </c>
      <c r="AF28" s="3">
        <v>3</v>
      </c>
      <c r="AH28" s="6"/>
      <c r="AI28" s="2" t="s">
        <v>17</v>
      </c>
      <c r="AK28" s="1" t="s">
        <v>18</v>
      </c>
    </row>
    <row r="29" spans="1:37" s="24" customFormat="1" x14ac:dyDescent="0.2">
      <c r="A29" s="21">
        <v>74</v>
      </c>
      <c r="B29" s="21"/>
      <c r="C29" s="22">
        <v>-39</v>
      </c>
      <c r="D29" s="22">
        <v>-75</v>
      </c>
      <c r="E29" s="22">
        <v>22</v>
      </c>
      <c r="F29" s="22"/>
      <c r="G29" s="23">
        <v>-40.5</v>
      </c>
      <c r="H29" s="23">
        <v>-75.27</v>
      </c>
      <c r="I29" s="23">
        <v>25.8</v>
      </c>
      <c r="J29" s="22"/>
      <c r="L29" s="24">
        <v>2</v>
      </c>
      <c r="M29" s="24">
        <v>2</v>
      </c>
      <c r="N29" s="24">
        <v>2</v>
      </c>
      <c r="O29" s="24">
        <v>2</v>
      </c>
      <c r="P29" s="24">
        <v>2</v>
      </c>
      <c r="Q29" s="24">
        <v>2</v>
      </c>
      <c r="R29" s="24">
        <v>2</v>
      </c>
      <c r="S29" s="24">
        <v>2</v>
      </c>
      <c r="T29" s="24">
        <v>-1</v>
      </c>
      <c r="V29" s="24">
        <v>2</v>
      </c>
      <c r="W29" s="24">
        <v>2</v>
      </c>
      <c r="X29" s="24">
        <v>2</v>
      </c>
      <c r="Y29" s="24">
        <v>2</v>
      </c>
      <c r="Z29" s="24">
        <v>2</v>
      </c>
      <c r="AA29" s="24">
        <v>2</v>
      </c>
      <c r="AB29" s="24">
        <v>2</v>
      </c>
      <c r="AC29" s="24">
        <v>2</v>
      </c>
      <c r="AD29" s="24">
        <v>2</v>
      </c>
      <c r="AF29" s="21">
        <v>5</v>
      </c>
      <c r="AI29" s="22" t="s">
        <v>19</v>
      </c>
      <c r="AK29" s="25" t="s">
        <v>20</v>
      </c>
    </row>
    <row r="30" spans="1:37" s="24" customFormat="1" x14ac:dyDescent="0.2">
      <c r="A30" s="21">
        <v>75</v>
      </c>
      <c r="B30" s="21"/>
      <c r="C30" s="22">
        <v>5</v>
      </c>
      <c r="D30" s="22">
        <v>60</v>
      </c>
      <c r="E30" s="22">
        <v>3</v>
      </c>
      <c r="F30" s="22"/>
      <c r="G30" s="23">
        <v>5.55</v>
      </c>
      <c r="H30" s="23">
        <v>66.69</v>
      </c>
      <c r="I30" s="23">
        <v>-3.55</v>
      </c>
      <c r="J30" s="22"/>
      <c r="L30" s="24">
        <v>2</v>
      </c>
      <c r="M30" s="24">
        <v>2</v>
      </c>
      <c r="N30" s="24">
        <v>2</v>
      </c>
      <c r="O30" s="24">
        <v>2</v>
      </c>
      <c r="P30" s="24">
        <v>2</v>
      </c>
      <c r="Q30" s="24">
        <v>2</v>
      </c>
      <c r="R30" s="24">
        <v>2</v>
      </c>
      <c r="S30" s="24">
        <v>2</v>
      </c>
      <c r="T30" s="24">
        <v>-1</v>
      </c>
      <c r="V30" s="24">
        <v>2</v>
      </c>
      <c r="W30" s="24">
        <v>2</v>
      </c>
      <c r="X30" s="24">
        <v>2</v>
      </c>
      <c r="Y30" s="24">
        <v>2</v>
      </c>
      <c r="Z30" s="24">
        <v>2</v>
      </c>
      <c r="AA30" s="24">
        <v>2</v>
      </c>
      <c r="AB30" s="24">
        <v>2</v>
      </c>
      <c r="AC30" s="24">
        <v>2</v>
      </c>
      <c r="AD30" s="24">
        <v>2</v>
      </c>
      <c r="AF30" s="21">
        <v>5</v>
      </c>
      <c r="AI30" s="22" t="s">
        <v>19</v>
      </c>
      <c r="AK30" s="25" t="s">
        <v>20</v>
      </c>
    </row>
    <row r="31" spans="1:37" s="24" customFormat="1" x14ac:dyDescent="0.2">
      <c r="A31" s="21">
        <v>76</v>
      </c>
      <c r="B31" s="21"/>
      <c r="C31" s="22">
        <v>8</v>
      </c>
      <c r="D31" s="22">
        <v>42</v>
      </c>
      <c r="E31" s="22">
        <v>-9</v>
      </c>
      <c r="F31" s="22"/>
      <c r="G31" s="23">
        <v>8.36</v>
      </c>
      <c r="H31" s="23">
        <v>47.59</v>
      </c>
      <c r="I31" s="23">
        <v>-15.18</v>
      </c>
      <c r="J31" s="22"/>
      <c r="L31" s="24">
        <v>2</v>
      </c>
      <c r="M31" s="24">
        <v>2</v>
      </c>
      <c r="N31" s="24">
        <v>2</v>
      </c>
      <c r="O31" s="24">
        <v>2</v>
      </c>
      <c r="P31" s="24">
        <v>2</v>
      </c>
      <c r="Q31" s="24">
        <v>2</v>
      </c>
      <c r="R31" s="24">
        <v>2</v>
      </c>
      <c r="S31" s="24">
        <v>2</v>
      </c>
      <c r="T31" s="24">
        <v>-1</v>
      </c>
      <c r="V31" s="24">
        <v>2</v>
      </c>
      <c r="W31" s="24">
        <v>2</v>
      </c>
      <c r="X31" s="24">
        <v>2</v>
      </c>
      <c r="Y31" s="24">
        <v>2</v>
      </c>
      <c r="Z31" s="24">
        <v>2</v>
      </c>
      <c r="AA31" s="24">
        <v>2</v>
      </c>
      <c r="AB31" s="24">
        <v>2</v>
      </c>
      <c r="AC31" s="24">
        <v>2</v>
      </c>
      <c r="AD31" s="24">
        <v>2</v>
      </c>
      <c r="AF31" s="21">
        <v>5</v>
      </c>
      <c r="AI31" s="22" t="s">
        <v>19</v>
      </c>
      <c r="AK31" s="25" t="s">
        <v>20</v>
      </c>
    </row>
    <row r="32" spans="1:37" s="24" customFormat="1" x14ac:dyDescent="0.2">
      <c r="A32" s="21">
        <v>77</v>
      </c>
      <c r="B32" s="21"/>
      <c r="C32" s="22">
        <v>-12</v>
      </c>
      <c r="D32" s="22">
        <v>-41</v>
      </c>
      <c r="E32" s="22">
        <v>1</v>
      </c>
      <c r="F32" s="22"/>
      <c r="G32" s="23">
        <v>-12.6</v>
      </c>
      <c r="H32" s="23">
        <v>-39.64</v>
      </c>
      <c r="I32" s="23">
        <v>0.93</v>
      </c>
      <c r="J32" s="22"/>
      <c r="L32" s="24">
        <v>2</v>
      </c>
      <c r="M32" s="24">
        <v>2</v>
      </c>
      <c r="N32" s="24">
        <v>2</v>
      </c>
      <c r="O32" s="24">
        <v>2</v>
      </c>
      <c r="P32" s="24">
        <v>2</v>
      </c>
      <c r="Q32" s="24">
        <v>2</v>
      </c>
      <c r="R32" s="24">
        <v>2</v>
      </c>
      <c r="S32" s="24">
        <v>2</v>
      </c>
      <c r="T32" s="24">
        <v>-1</v>
      </c>
      <c r="V32" s="24">
        <v>3</v>
      </c>
      <c r="W32" s="24">
        <v>3</v>
      </c>
      <c r="X32" s="24">
        <v>2</v>
      </c>
      <c r="Y32" s="24">
        <v>2</v>
      </c>
      <c r="Z32" s="24">
        <v>2</v>
      </c>
      <c r="AA32" s="24">
        <v>2</v>
      </c>
      <c r="AB32" s="24">
        <v>2</v>
      </c>
      <c r="AC32" s="24">
        <v>2</v>
      </c>
      <c r="AD32" s="24">
        <v>-1</v>
      </c>
      <c r="AF32" s="21">
        <v>5</v>
      </c>
      <c r="AI32" s="22" t="s">
        <v>19</v>
      </c>
      <c r="AK32" s="25" t="s">
        <v>20</v>
      </c>
    </row>
    <row r="33" spans="1:37" s="24" customFormat="1" x14ac:dyDescent="0.2">
      <c r="A33" s="21">
        <v>78</v>
      </c>
      <c r="B33" s="21"/>
      <c r="C33" s="22">
        <v>-17</v>
      </c>
      <c r="D33" s="22">
        <v>57</v>
      </c>
      <c r="E33" s="22">
        <v>-3</v>
      </c>
      <c r="F33" s="22"/>
      <c r="G33" s="23">
        <v>-17.649999999999999</v>
      </c>
      <c r="H33" s="23">
        <v>63.19</v>
      </c>
      <c r="I33" s="23">
        <v>-9.17</v>
      </c>
      <c r="J33" s="22"/>
      <c r="L33" s="24">
        <v>2</v>
      </c>
      <c r="M33" s="24">
        <v>2</v>
      </c>
      <c r="N33" s="24">
        <v>2</v>
      </c>
      <c r="O33" s="24">
        <v>2</v>
      </c>
      <c r="P33" s="24">
        <v>2</v>
      </c>
      <c r="Q33" s="24">
        <v>2</v>
      </c>
      <c r="R33" s="24">
        <v>2</v>
      </c>
      <c r="S33" s="24">
        <v>-1</v>
      </c>
      <c r="T33" s="24">
        <v>-1</v>
      </c>
      <c r="V33" s="24">
        <v>2</v>
      </c>
      <c r="W33" s="24">
        <v>2</v>
      </c>
      <c r="X33" s="24">
        <v>2</v>
      </c>
      <c r="Y33" s="24">
        <v>2</v>
      </c>
      <c r="Z33" s="24">
        <v>2</v>
      </c>
      <c r="AA33" s="24">
        <v>-1</v>
      </c>
      <c r="AB33" s="24">
        <v>-1</v>
      </c>
      <c r="AC33" s="24">
        <v>-1</v>
      </c>
      <c r="AD33" s="24">
        <v>-1</v>
      </c>
      <c r="AF33" s="21">
        <v>5</v>
      </c>
      <c r="AI33" s="22" t="s">
        <v>19</v>
      </c>
      <c r="AK33" s="25" t="s">
        <v>20</v>
      </c>
    </row>
    <row r="34" spans="1:37" s="24" customFormat="1" x14ac:dyDescent="0.2">
      <c r="A34" s="21">
        <v>79</v>
      </c>
      <c r="B34" s="21"/>
      <c r="C34" s="22">
        <v>-44</v>
      </c>
      <c r="D34" s="22">
        <v>-61</v>
      </c>
      <c r="E34" s="22">
        <v>18</v>
      </c>
      <c r="F34" s="22"/>
      <c r="G34" s="23">
        <v>-45.79</v>
      </c>
      <c r="H34" s="23">
        <v>-60.69</v>
      </c>
      <c r="I34" s="23">
        <v>20.85</v>
      </c>
      <c r="J34" s="22"/>
      <c r="L34" s="24">
        <v>2</v>
      </c>
      <c r="M34" s="24">
        <v>2</v>
      </c>
      <c r="N34" s="24">
        <v>2</v>
      </c>
      <c r="O34" s="24">
        <v>2</v>
      </c>
      <c r="P34" s="24">
        <v>2</v>
      </c>
      <c r="Q34" s="24">
        <v>2</v>
      </c>
      <c r="R34" s="24">
        <v>2</v>
      </c>
      <c r="S34" s="24">
        <v>2</v>
      </c>
      <c r="T34" s="24">
        <v>-1</v>
      </c>
      <c r="V34" s="24">
        <v>2</v>
      </c>
      <c r="W34" s="24">
        <v>2</v>
      </c>
      <c r="X34" s="24">
        <v>2</v>
      </c>
      <c r="Y34" s="24">
        <v>2</v>
      </c>
      <c r="Z34" s="24">
        <v>2</v>
      </c>
      <c r="AA34" s="24">
        <v>2</v>
      </c>
      <c r="AB34" s="24">
        <v>2</v>
      </c>
      <c r="AC34" s="24">
        <v>-1</v>
      </c>
      <c r="AD34" s="24">
        <v>-1</v>
      </c>
      <c r="AF34" s="21">
        <v>5</v>
      </c>
      <c r="AI34" s="22" t="s">
        <v>19</v>
      </c>
      <c r="AK34" s="25" t="s">
        <v>20</v>
      </c>
    </row>
    <row r="35" spans="1:37" s="24" customFormat="1" x14ac:dyDescent="0.2">
      <c r="A35" s="21">
        <v>80</v>
      </c>
      <c r="B35" s="21"/>
      <c r="C35" s="22">
        <v>41</v>
      </c>
      <c r="D35" s="22">
        <v>-73</v>
      </c>
      <c r="E35" s="22">
        <v>26</v>
      </c>
      <c r="F35" s="22"/>
      <c r="G35" s="23">
        <v>43.43</v>
      </c>
      <c r="H35" s="23">
        <v>-72.209999999999994</v>
      </c>
      <c r="I35" s="23">
        <v>28</v>
      </c>
      <c r="J35" s="22"/>
      <c r="L35" s="24">
        <v>2</v>
      </c>
      <c r="M35" s="24">
        <v>2</v>
      </c>
      <c r="N35" s="24">
        <v>2</v>
      </c>
      <c r="O35" s="24">
        <v>2</v>
      </c>
      <c r="P35" s="24">
        <v>2</v>
      </c>
      <c r="Q35" s="24">
        <v>2</v>
      </c>
      <c r="R35" s="24">
        <v>2</v>
      </c>
      <c r="S35" s="24">
        <v>2</v>
      </c>
      <c r="T35" s="24">
        <v>-1</v>
      </c>
      <c r="V35" s="24">
        <v>2</v>
      </c>
      <c r="W35" s="24">
        <v>2</v>
      </c>
      <c r="X35" s="24">
        <v>2</v>
      </c>
      <c r="Y35" s="24">
        <v>2</v>
      </c>
      <c r="Z35" s="24">
        <v>2</v>
      </c>
      <c r="AA35" s="24">
        <v>2</v>
      </c>
      <c r="AB35" s="24">
        <v>2</v>
      </c>
      <c r="AC35" s="24">
        <v>2</v>
      </c>
      <c r="AD35" s="24">
        <v>2</v>
      </c>
      <c r="AF35" s="21">
        <v>5</v>
      </c>
      <c r="AI35" s="22" t="s">
        <v>19</v>
      </c>
      <c r="AK35" s="25" t="s">
        <v>20</v>
      </c>
    </row>
    <row r="36" spans="1:37" s="24" customFormat="1" x14ac:dyDescent="0.2">
      <c r="A36" s="21">
        <v>81</v>
      </c>
      <c r="B36" s="21"/>
      <c r="C36" s="22">
        <v>-41</v>
      </c>
      <c r="D36" s="22">
        <v>9</v>
      </c>
      <c r="E36" s="22">
        <v>-30</v>
      </c>
      <c r="F36" s="22"/>
      <c r="G36" s="23">
        <v>-43.58</v>
      </c>
      <c r="H36" s="23">
        <v>11.99</v>
      </c>
      <c r="I36" s="23">
        <v>-34.15</v>
      </c>
      <c r="J36" s="22"/>
      <c r="L36" s="24">
        <v>2</v>
      </c>
      <c r="M36" s="24">
        <v>2</v>
      </c>
      <c r="N36" s="24">
        <v>2</v>
      </c>
      <c r="O36" s="24">
        <v>2</v>
      </c>
      <c r="P36" s="24">
        <v>2</v>
      </c>
      <c r="Q36" s="24">
        <v>2</v>
      </c>
      <c r="R36" s="24">
        <v>2</v>
      </c>
      <c r="S36" s="24">
        <v>-1</v>
      </c>
      <c r="T36" s="24">
        <v>-1</v>
      </c>
      <c r="V36" s="24">
        <v>2</v>
      </c>
      <c r="W36" s="24">
        <v>2</v>
      </c>
      <c r="X36" s="24">
        <v>2</v>
      </c>
      <c r="Y36" s="24">
        <v>2</v>
      </c>
      <c r="Z36" s="24">
        <v>2</v>
      </c>
      <c r="AA36" s="24">
        <v>2</v>
      </c>
      <c r="AB36" s="24">
        <v>-1</v>
      </c>
      <c r="AC36" s="24">
        <v>-1</v>
      </c>
      <c r="AD36" s="24">
        <v>-1</v>
      </c>
      <c r="AF36" s="21">
        <v>5</v>
      </c>
      <c r="AI36" s="22" t="s">
        <v>19</v>
      </c>
      <c r="AK36" s="25" t="s">
        <v>20</v>
      </c>
    </row>
    <row r="37" spans="1:37" s="24" customFormat="1" x14ac:dyDescent="0.2">
      <c r="A37" s="21">
        <v>82</v>
      </c>
      <c r="B37" s="21"/>
      <c r="C37" s="22">
        <v>44</v>
      </c>
      <c r="D37" s="22">
        <v>12</v>
      </c>
      <c r="E37" s="22">
        <v>-24</v>
      </c>
      <c r="F37" s="22"/>
      <c r="G37" s="23">
        <v>45.64</v>
      </c>
      <c r="H37" s="23">
        <v>16.2</v>
      </c>
      <c r="I37" s="23">
        <v>-30.02</v>
      </c>
      <c r="J37" s="22"/>
      <c r="L37" s="24">
        <v>2</v>
      </c>
      <c r="M37" s="24">
        <v>2</v>
      </c>
      <c r="N37" s="24">
        <v>2</v>
      </c>
      <c r="O37" s="24">
        <v>2</v>
      </c>
      <c r="P37" s="24">
        <v>2</v>
      </c>
      <c r="Q37" s="24">
        <v>2</v>
      </c>
      <c r="R37" s="24">
        <v>2</v>
      </c>
      <c r="S37" s="24">
        <v>-1</v>
      </c>
      <c r="T37" s="24">
        <v>-1</v>
      </c>
      <c r="V37" s="24">
        <v>2</v>
      </c>
      <c r="W37" s="24">
        <v>2</v>
      </c>
      <c r="X37" s="24">
        <v>2</v>
      </c>
      <c r="Y37" s="24">
        <v>2</v>
      </c>
      <c r="Z37" s="24">
        <v>2</v>
      </c>
      <c r="AA37" s="24">
        <v>2</v>
      </c>
      <c r="AB37" s="24">
        <v>-1</v>
      </c>
      <c r="AC37" s="24">
        <v>-1</v>
      </c>
      <c r="AD37" s="24">
        <v>-1</v>
      </c>
      <c r="AF37" s="21">
        <v>5</v>
      </c>
      <c r="AI37" s="22" t="s">
        <v>19</v>
      </c>
      <c r="AK37" s="25" t="s">
        <v>20</v>
      </c>
    </row>
    <row r="38" spans="1:37" s="24" customFormat="1" x14ac:dyDescent="0.2">
      <c r="A38" s="21">
        <v>83</v>
      </c>
      <c r="B38" s="21"/>
      <c r="C38" s="22">
        <v>-65</v>
      </c>
      <c r="D38" s="22">
        <v>-24</v>
      </c>
      <c r="E38" s="22">
        <v>-15</v>
      </c>
      <c r="F38" s="22"/>
      <c r="G38" s="23">
        <v>-68.47</v>
      </c>
      <c r="H38" s="23">
        <v>-22.66</v>
      </c>
      <c r="I38" s="23">
        <v>-15.74</v>
      </c>
      <c r="J38" s="22"/>
      <c r="L38" s="24">
        <v>2</v>
      </c>
      <c r="M38" s="24">
        <v>2</v>
      </c>
      <c r="N38" s="24">
        <v>2</v>
      </c>
      <c r="O38" s="24">
        <v>2</v>
      </c>
      <c r="P38" s="24">
        <v>2</v>
      </c>
      <c r="Q38" s="24">
        <v>2</v>
      </c>
      <c r="R38" s="24">
        <v>2</v>
      </c>
      <c r="S38" s="24">
        <v>-1</v>
      </c>
      <c r="T38" s="24">
        <v>-1</v>
      </c>
      <c r="V38" s="24">
        <v>2</v>
      </c>
      <c r="W38" s="24">
        <v>2</v>
      </c>
      <c r="X38" s="24">
        <v>2</v>
      </c>
      <c r="Y38" s="24">
        <v>2</v>
      </c>
      <c r="Z38" s="24">
        <v>2</v>
      </c>
      <c r="AA38" s="24">
        <v>2</v>
      </c>
      <c r="AB38" s="24">
        <v>2</v>
      </c>
      <c r="AC38" s="24">
        <v>32</v>
      </c>
      <c r="AD38" s="24">
        <v>-1</v>
      </c>
      <c r="AF38" s="21">
        <v>5</v>
      </c>
      <c r="AI38" s="22" t="s">
        <v>19</v>
      </c>
      <c r="AK38" s="25" t="s">
        <v>20</v>
      </c>
    </row>
    <row r="39" spans="1:37" x14ac:dyDescent="0.2">
      <c r="A39" s="3">
        <v>84</v>
      </c>
      <c r="C39" s="2">
        <v>-55</v>
      </c>
      <c r="D39" s="2">
        <v>-27</v>
      </c>
      <c r="E39" s="2">
        <v>-14</v>
      </c>
      <c r="G39" s="16">
        <v>-57.97</v>
      </c>
      <c r="H39" s="16">
        <v>-25.69</v>
      </c>
      <c r="I39" s="16">
        <v>-14.73</v>
      </c>
      <c r="L39">
        <v>2</v>
      </c>
      <c r="M39">
        <v>2</v>
      </c>
      <c r="N39">
        <v>2</v>
      </c>
      <c r="O39">
        <v>2</v>
      </c>
      <c r="P39">
        <v>-1</v>
      </c>
      <c r="Q39">
        <v>-1</v>
      </c>
      <c r="R39">
        <v>-1</v>
      </c>
      <c r="S39">
        <v>-1</v>
      </c>
      <c r="T39">
        <v>-1</v>
      </c>
      <c r="V39">
        <v>2</v>
      </c>
      <c r="W39">
        <v>2</v>
      </c>
      <c r="X39">
        <v>2</v>
      </c>
      <c r="Y39">
        <v>-1</v>
      </c>
      <c r="Z39">
        <v>-1</v>
      </c>
      <c r="AA39">
        <v>-1</v>
      </c>
      <c r="AB39">
        <v>-1</v>
      </c>
      <c r="AC39">
        <v>-1</v>
      </c>
      <c r="AD39">
        <v>-1</v>
      </c>
      <c r="AF39" s="3">
        <v>-1</v>
      </c>
      <c r="AI39" s="2" t="s">
        <v>15</v>
      </c>
      <c r="AK39" s="1" t="s">
        <v>16</v>
      </c>
    </row>
    <row r="40" spans="1:37" x14ac:dyDescent="0.2">
      <c r="A40" s="3">
        <v>85</v>
      </c>
      <c r="C40" s="2">
        <v>26</v>
      </c>
      <c r="D40" s="2">
        <v>12</v>
      </c>
      <c r="E40" s="2">
        <v>-12</v>
      </c>
      <c r="G40" s="16">
        <v>27.06</v>
      </c>
      <c r="H40" s="16">
        <v>16.22</v>
      </c>
      <c r="I40" s="16">
        <v>-16.93</v>
      </c>
      <c r="L40">
        <v>2</v>
      </c>
      <c r="M40">
        <v>2</v>
      </c>
      <c r="N40">
        <v>-1</v>
      </c>
      <c r="O40">
        <v>-1</v>
      </c>
      <c r="P40">
        <v>-1</v>
      </c>
      <c r="Q40">
        <v>-1</v>
      </c>
      <c r="R40">
        <v>-1</v>
      </c>
      <c r="S40">
        <v>-1</v>
      </c>
      <c r="T40">
        <v>-1</v>
      </c>
      <c r="V40">
        <v>2</v>
      </c>
      <c r="W40">
        <v>2</v>
      </c>
      <c r="X40">
        <v>2</v>
      </c>
      <c r="Y40">
        <v>-1</v>
      </c>
      <c r="Z40">
        <v>-1</v>
      </c>
      <c r="AA40">
        <v>-1</v>
      </c>
      <c r="AB40">
        <v>-1</v>
      </c>
      <c r="AC40">
        <v>-1</v>
      </c>
      <c r="AD40">
        <v>-1</v>
      </c>
      <c r="AF40" s="3">
        <v>-1</v>
      </c>
      <c r="AI40" s="2" t="s">
        <v>15</v>
      </c>
      <c r="AK40" s="1" t="s">
        <v>16</v>
      </c>
    </row>
    <row r="41" spans="1:37" s="24" customFormat="1" x14ac:dyDescent="0.2">
      <c r="A41" s="21">
        <v>86</v>
      </c>
      <c r="B41" s="21"/>
      <c r="C41" s="22">
        <v>-43</v>
      </c>
      <c r="D41" s="22">
        <v>-65</v>
      </c>
      <c r="E41" s="22">
        <v>31</v>
      </c>
      <c r="F41" s="22"/>
      <c r="G41" s="23">
        <v>-44.45</v>
      </c>
      <c r="H41" s="23">
        <v>-64.64</v>
      </c>
      <c r="I41" s="23">
        <v>34.78</v>
      </c>
      <c r="J41" s="22"/>
      <c r="L41" s="24">
        <v>2</v>
      </c>
      <c r="M41" s="24">
        <v>2</v>
      </c>
      <c r="N41" s="24">
        <v>2</v>
      </c>
      <c r="O41" s="24">
        <v>2</v>
      </c>
      <c r="P41" s="24">
        <v>2</v>
      </c>
      <c r="Q41" s="24">
        <v>2</v>
      </c>
      <c r="R41" s="24">
        <v>2</v>
      </c>
      <c r="S41" s="24">
        <v>2</v>
      </c>
      <c r="T41" s="24">
        <v>2</v>
      </c>
      <c r="V41" s="24">
        <v>2</v>
      </c>
      <c r="W41" s="24">
        <v>2</v>
      </c>
      <c r="X41" s="24">
        <v>2</v>
      </c>
      <c r="Y41" s="24">
        <v>2</v>
      </c>
      <c r="Z41" s="24">
        <v>2</v>
      </c>
      <c r="AA41" s="24">
        <v>2</v>
      </c>
      <c r="AB41" s="24">
        <v>2</v>
      </c>
      <c r="AC41" s="24">
        <v>2</v>
      </c>
      <c r="AD41" s="24">
        <v>2</v>
      </c>
      <c r="AF41" s="21">
        <v>5</v>
      </c>
      <c r="AI41" s="22" t="s">
        <v>19</v>
      </c>
      <c r="AK41" s="25" t="s">
        <v>21</v>
      </c>
    </row>
    <row r="42" spans="1:37" s="24" customFormat="1" x14ac:dyDescent="0.2">
      <c r="A42" s="21">
        <v>87</v>
      </c>
      <c r="B42" s="21"/>
      <c r="C42" s="22">
        <v>-38</v>
      </c>
      <c r="D42" s="22">
        <v>-75</v>
      </c>
      <c r="E42" s="22">
        <v>39</v>
      </c>
      <c r="F42" s="22"/>
      <c r="G42" s="23">
        <v>-39.049999999999997</v>
      </c>
      <c r="H42" s="23">
        <v>-74.95</v>
      </c>
      <c r="I42" s="23">
        <v>43.72</v>
      </c>
      <c r="J42" s="22"/>
      <c r="L42" s="24">
        <v>2</v>
      </c>
      <c r="M42" s="24">
        <v>2</v>
      </c>
      <c r="N42" s="24">
        <v>2</v>
      </c>
      <c r="O42" s="24">
        <v>2</v>
      </c>
      <c r="P42" s="24">
        <v>2</v>
      </c>
      <c r="Q42" s="24">
        <v>2</v>
      </c>
      <c r="R42" s="24">
        <v>2</v>
      </c>
      <c r="S42" s="24">
        <v>2</v>
      </c>
      <c r="T42" s="24">
        <v>2</v>
      </c>
      <c r="V42" s="24">
        <v>2</v>
      </c>
      <c r="W42" s="24">
        <v>2</v>
      </c>
      <c r="X42" s="24">
        <v>2</v>
      </c>
      <c r="Y42" s="24">
        <v>2</v>
      </c>
      <c r="Z42" s="24">
        <v>2</v>
      </c>
      <c r="AA42" s="24">
        <v>2</v>
      </c>
      <c r="AB42" s="24">
        <v>2</v>
      </c>
      <c r="AC42" s="24">
        <v>2</v>
      </c>
      <c r="AD42" s="24">
        <v>2</v>
      </c>
      <c r="AF42" s="21">
        <v>5</v>
      </c>
      <c r="AI42" s="22" t="s">
        <v>19</v>
      </c>
      <c r="AK42" s="25" t="s">
        <v>21</v>
      </c>
    </row>
    <row r="43" spans="1:37" s="24" customFormat="1" x14ac:dyDescent="0.2">
      <c r="A43" s="21">
        <v>88</v>
      </c>
      <c r="B43" s="21"/>
      <c r="C43" s="22">
        <v>-7</v>
      </c>
      <c r="D43" s="22">
        <v>-56</v>
      </c>
      <c r="E43" s="22">
        <v>25</v>
      </c>
      <c r="F43" s="22"/>
      <c r="G43" s="23">
        <v>-6.84</v>
      </c>
      <c r="H43" s="23">
        <v>-54.9</v>
      </c>
      <c r="I43" s="23">
        <v>27.05</v>
      </c>
      <c r="J43" s="22"/>
      <c r="L43" s="24">
        <v>2</v>
      </c>
      <c r="M43" s="24">
        <v>2</v>
      </c>
      <c r="N43" s="24">
        <v>2</v>
      </c>
      <c r="O43" s="24">
        <v>2</v>
      </c>
      <c r="P43" s="24">
        <v>2</v>
      </c>
      <c r="Q43" s="24">
        <v>2</v>
      </c>
      <c r="R43" s="24">
        <v>2</v>
      </c>
      <c r="S43" s="24">
        <v>2</v>
      </c>
      <c r="T43" s="24">
        <v>2</v>
      </c>
      <c r="V43" s="24">
        <v>2</v>
      </c>
      <c r="W43" s="24">
        <v>2</v>
      </c>
      <c r="X43" s="24">
        <v>2</v>
      </c>
      <c r="Y43" s="24">
        <v>2</v>
      </c>
      <c r="Z43" s="24">
        <v>2</v>
      </c>
      <c r="AA43" s="24">
        <v>2</v>
      </c>
      <c r="AB43" s="24">
        <v>2</v>
      </c>
      <c r="AC43" s="24">
        <v>2</v>
      </c>
      <c r="AD43" s="24">
        <v>2</v>
      </c>
      <c r="AF43" s="21">
        <v>5</v>
      </c>
      <c r="AI43" s="22" t="s">
        <v>19</v>
      </c>
      <c r="AK43" s="25" t="s">
        <v>21</v>
      </c>
    </row>
    <row r="44" spans="1:37" s="24" customFormat="1" x14ac:dyDescent="0.2">
      <c r="A44" s="21">
        <v>89</v>
      </c>
      <c r="B44" s="21"/>
      <c r="C44" s="22">
        <v>5</v>
      </c>
      <c r="D44" s="22">
        <v>-60</v>
      </c>
      <c r="E44" s="22">
        <v>33</v>
      </c>
      <c r="F44" s="22"/>
      <c r="G44" s="23">
        <v>5.91</v>
      </c>
      <c r="H44" s="23">
        <v>-58.82</v>
      </c>
      <c r="I44" s="23">
        <v>35.450000000000003</v>
      </c>
      <c r="J44" s="22"/>
      <c r="L44" s="24">
        <v>2</v>
      </c>
      <c r="M44" s="24">
        <v>2</v>
      </c>
      <c r="N44" s="24">
        <v>2</v>
      </c>
      <c r="O44" s="24">
        <v>2</v>
      </c>
      <c r="P44" s="24">
        <v>2</v>
      </c>
      <c r="Q44" s="24">
        <v>2</v>
      </c>
      <c r="R44" s="24">
        <v>2</v>
      </c>
      <c r="S44" s="24">
        <v>2</v>
      </c>
      <c r="T44" s="24">
        <v>2</v>
      </c>
      <c r="V44" s="24">
        <v>2</v>
      </c>
      <c r="W44" s="24">
        <v>2</v>
      </c>
      <c r="X44" s="24">
        <v>2</v>
      </c>
      <c r="Y44" s="24">
        <v>2</v>
      </c>
      <c r="Z44" s="24">
        <v>2</v>
      </c>
      <c r="AA44" s="24">
        <v>2</v>
      </c>
      <c r="AB44" s="24">
        <v>2</v>
      </c>
      <c r="AC44" s="24">
        <v>2</v>
      </c>
      <c r="AD44" s="24">
        <v>2</v>
      </c>
      <c r="AF44" s="21">
        <v>5</v>
      </c>
      <c r="AI44" s="22" t="s">
        <v>19</v>
      </c>
      <c r="AK44" s="25" t="s">
        <v>21</v>
      </c>
    </row>
    <row r="45" spans="1:37" s="24" customFormat="1" x14ac:dyDescent="0.2">
      <c r="A45" s="21">
        <v>90</v>
      </c>
      <c r="B45" s="21"/>
      <c r="C45" s="22">
        <v>-11</v>
      </c>
      <c r="D45" s="22">
        <v>-57</v>
      </c>
      <c r="E45" s="22">
        <v>14</v>
      </c>
      <c r="F45" s="22"/>
      <c r="G45" s="23">
        <v>-11.29</v>
      </c>
      <c r="H45" s="23">
        <v>-56.2</v>
      </c>
      <c r="I45" s="23">
        <v>15.6</v>
      </c>
      <c r="J45" s="22"/>
      <c r="L45" s="24">
        <v>2</v>
      </c>
      <c r="M45" s="24">
        <v>2</v>
      </c>
      <c r="N45" s="24">
        <v>2</v>
      </c>
      <c r="O45" s="24">
        <v>2</v>
      </c>
      <c r="P45" s="24">
        <v>2</v>
      </c>
      <c r="Q45" s="24">
        <v>2</v>
      </c>
      <c r="R45" s="24">
        <v>2</v>
      </c>
      <c r="S45" s="24">
        <v>2</v>
      </c>
      <c r="T45" s="24">
        <v>2</v>
      </c>
      <c r="V45" s="24">
        <v>2</v>
      </c>
      <c r="W45" s="24">
        <v>2</v>
      </c>
      <c r="X45" s="24">
        <v>2</v>
      </c>
      <c r="Y45" s="24">
        <v>2</v>
      </c>
      <c r="Z45" s="24">
        <v>2</v>
      </c>
      <c r="AA45" s="24">
        <v>2</v>
      </c>
      <c r="AB45" s="24">
        <v>2</v>
      </c>
      <c r="AC45" s="24">
        <v>2</v>
      </c>
      <c r="AD45" s="24">
        <v>2</v>
      </c>
      <c r="AF45" s="21">
        <v>5</v>
      </c>
      <c r="AI45" s="22" t="s">
        <v>19</v>
      </c>
      <c r="AK45" s="25" t="s">
        <v>21</v>
      </c>
    </row>
    <row r="46" spans="1:37" s="24" customFormat="1" x14ac:dyDescent="0.2">
      <c r="A46" s="21">
        <v>91</v>
      </c>
      <c r="B46" s="21"/>
      <c r="C46" s="22">
        <v>-3</v>
      </c>
      <c r="D46" s="22">
        <v>-50</v>
      </c>
      <c r="E46" s="22">
        <v>12</v>
      </c>
      <c r="F46" s="22"/>
      <c r="G46" s="23">
        <v>-2.94</v>
      </c>
      <c r="H46" s="23">
        <v>-48.79</v>
      </c>
      <c r="I46" s="23">
        <v>12.87</v>
      </c>
      <c r="J46" s="22"/>
      <c r="L46" s="24">
        <v>2</v>
      </c>
      <c r="M46" s="24">
        <v>2</v>
      </c>
      <c r="N46" s="24">
        <v>2</v>
      </c>
      <c r="O46" s="24">
        <v>2</v>
      </c>
      <c r="P46" s="24">
        <v>2</v>
      </c>
      <c r="Q46" s="24">
        <v>2</v>
      </c>
      <c r="R46" s="24">
        <v>2</v>
      </c>
      <c r="S46" s="24">
        <v>2</v>
      </c>
      <c r="T46" s="24">
        <v>2</v>
      </c>
      <c r="V46" s="24">
        <v>2</v>
      </c>
      <c r="W46" s="24">
        <v>2</v>
      </c>
      <c r="X46" s="24">
        <v>2</v>
      </c>
      <c r="Y46" s="24">
        <v>2</v>
      </c>
      <c r="Z46" s="24">
        <v>2</v>
      </c>
      <c r="AA46" s="24">
        <v>2</v>
      </c>
      <c r="AB46" s="24">
        <v>2</v>
      </c>
      <c r="AC46" s="24">
        <v>2</v>
      </c>
      <c r="AD46" s="24">
        <v>2</v>
      </c>
      <c r="AF46" s="21">
        <v>5</v>
      </c>
      <c r="AI46" s="22" t="s">
        <v>19</v>
      </c>
      <c r="AK46" s="25" t="s">
        <v>21</v>
      </c>
    </row>
    <row r="47" spans="1:37" s="24" customFormat="1" x14ac:dyDescent="0.2">
      <c r="A47" s="21">
        <v>92</v>
      </c>
      <c r="B47" s="21"/>
      <c r="C47" s="22">
        <v>7</v>
      </c>
      <c r="D47" s="22">
        <v>-50</v>
      </c>
      <c r="E47" s="22">
        <v>29</v>
      </c>
      <c r="F47" s="22"/>
      <c r="G47" s="23">
        <v>7.94</v>
      </c>
      <c r="H47" s="23">
        <v>-48.37</v>
      </c>
      <c r="I47" s="23">
        <v>30.57</v>
      </c>
      <c r="J47" s="22"/>
      <c r="L47" s="24">
        <v>2</v>
      </c>
      <c r="M47" s="24">
        <v>2</v>
      </c>
      <c r="N47" s="24">
        <v>2</v>
      </c>
      <c r="O47" s="24">
        <v>2</v>
      </c>
      <c r="P47" s="24">
        <v>2</v>
      </c>
      <c r="Q47" s="24">
        <v>2</v>
      </c>
      <c r="R47" s="24">
        <v>2</v>
      </c>
      <c r="S47" s="24">
        <v>2</v>
      </c>
      <c r="T47" s="24">
        <v>2</v>
      </c>
      <c r="V47" s="24">
        <v>2</v>
      </c>
      <c r="W47" s="24">
        <v>2</v>
      </c>
      <c r="X47" s="24">
        <v>2</v>
      </c>
      <c r="Y47" s="24">
        <v>2</v>
      </c>
      <c r="Z47" s="24">
        <v>2</v>
      </c>
      <c r="AA47" s="24">
        <v>2</v>
      </c>
      <c r="AB47" s="24">
        <v>2</v>
      </c>
      <c r="AC47" s="24">
        <v>2</v>
      </c>
      <c r="AD47" s="24">
        <v>2</v>
      </c>
      <c r="AF47" s="21">
        <v>5</v>
      </c>
      <c r="AI47" s="22" t="s">
        <v>19</v>
      </c>
      <c r="AK47" s="25" t="s">
        <v>21</v>
      </c>
    </row>
    <row r="48" spans="1:37" s="24" customFormat="1" x14ac:dyDescent="0.2">
      <c r="A48" s="21">
        <v>93</v>
      </c>
      <c r="B48" s="21"/>
      <c r="C48" s="22">
        <v>14</v>
      </c>
      <c r="D48" s="22">
        <v>-64</v>
      </c>
      <c r="E48" s="22">
        <v>24</v>
      </c>
      <c r="F48" s="22"/>
      <c r="G48" s="23">
        <v>15.12</v>
      </c>
      <c r="H48" s="23">
        <v>-63.09</v>
      </c>
      <c r="I48" s="23">
        <v>25.98</v>
      </c>
      <c r="J48" s="22"/>
      <c r="L48" s="24">
        <v>2</v>
      </c>
      <c r="M48" s="24">
        <v>2</v>
      </c>
      <c r="N48" s="24">
        <v>2</v>
      </c>
      <c r="O48" s="24">
        <v>2</v>
      </c>
      <c r="P48" s="24">
        <v>2</v>
      </c>
      <c r="Q48" s="24">
        <v>2</v>
      </c>
      <c r="R48" s="24">
        <v>2</v>
      </c>
      <c r="S48" s="24">
        <v>2</v>
      </c>
      <c r="T48" s="24">
        <v>2</v>
      </c>
      <c r="V48" s="24">
        <v>2</v>
      </c>
      <c r="W48" s="24">
        <v>2</v>
      </c>
      <c r="X48" s="24">
        <v>2</v>
      </c>
      <c r="Y48" s="24">
        <v>2</v>
      </c>
      <c r="Z48" s="24">
        <v>2</v>
      </c>
      <c r="AA48" s="24">
        <v>2</v>
      </c>
      <c r="AB48" s="24">
        <v>2</v>
      </c>
      <c r="AC48" s="24">
        <v>2</v>
      </c>
      <c r="AD48" s="24">
        <v>2</v>
      </c>
      <c r="AF48" s="21">
        <v>5</v>
      </c>
      <c r="AI48" s="22" t="s">
        <v>19</v>
      </c>
      <c r="AK48" s="25" t="s">
        <v>21</v>
      </c>
    </row>
    <row r="49" spans="1:37" s="24" customFormat="1" x14ac:dyDescent="0.2">
      <c r="A49" s="21">
        <v>94</v>
      </c>
      <c r="B49" s="21"/>
      <c r="C49" s="22">
        <v>-3</v>
      </c>
      <c r="D49" s="22">
        <v>-39</v>
      </c>
      <c r="E49" s="22">
        <v>42</v>
      </c>
      <c r="F49" s="22"/>
      <c r="G49" s="23">
        <v>-2.2000000000000002</v>
      </c>
      <c r="H49" s="23">
        <v>-36.68</v>
      </c>
      <c r="I49" s="23">
        <v>43.85</v>
      </c>
      <c r="J49" s="22"/>
      <c r="L49" s="24">
        <v>2</v>
      </c>
      <c r="M49" s="24">
        <v>2</v>
      </c>
      <c r="N49" s="24">
        <v>2</v>
      </c>
      <c r="O49" s="24">
        <v>2</v>
      </c>
      <c r="P49" s="24">
        <v>2</v>
      </c>
      <c r="Q49" s="24">
        <v>2</v>
      </c>
      <c r="R49" s="24">
        <v>2</v>
      </c>
      <c r="S49" s="24">
        <v>2</v>
      </c>
      <c r="T49" s="24">
        <v>2</v>
      </c>
      <c r="V49" s="24">
        <v>2</v>
      </c>
      <c r="W49" s="24">
        <v>2</v>
      </c>
      <c r="X49" s="24">
        <v>2</v>
      </c>
      <c r="Y49" s="24">
        <v>2</v>
      </c>
      <c r="Z49" s="24">
        <v>2</v>
      </c>
      <c r="AA49" s="24">
        <v>2</v>
      </c>
      <c r="AB49" s="24">
        <v>2</v>
      </c>
      <c r="AC49" s="24">
        <v>2</v>
      </c>
      <c r="AD49" s="24">
        <v>2</v>
      </c>
      <c r="AF49" s="21">
        <v>5</v>
      </c>
      <c r="AI49" s="22" t="s">
        <v>19</v>
      </c>
      <c r="AK49" s="25" t="s">
        <v>21</v>
      </c>
    </row>
    <row r="50" spans="1:37" s="24" customFormat="1" x14ac:dyDescent="0.2">
      <c r="A50" s="21">
        <v>95</v>
      </c>
      <c r="B50" s="21"/>
      <c r="C50" s="22">
        <v>10</v>
      </c>
      <c r="D50" s="22">
        <v>-55</v>
      </c>
      <c r="E50" s="22">
        <v>16</v>
      </c>
      <c r="F50" s="22"/>
      <c r="G50" s="23">
        <v>10.77</v>
      </c>
      <c r="H50" s="23">
        <v>-53.83</v>
      </c>
      <c r="I50" s="23">
        <v>17.09</v>
      </c>
      <c r="J50" s="22"/>
      <c r="L50" s="24">
        <v>2</v>
      </c>
      <c r="M50" s="24">
        <v>2</v>
      </c>
      <c r="N50" s="24">
        <v>2</v>
      </c>
      <c r="O50" s="24">
        <v>2</v>
      </c>
      <c r="P50" s="24">
        <v>2</v>
      </c>
      <c r="Q50" s="24">
        <v>2</v>
      </c>
      <c r="R50" s="24">
        <v>2</v>
      </c>
      <c r="S50" s="24">
        <v>2</v>
      </c>
      <c r="T50" s="24">
        <v>2</v>
      </c>
      <c r="V50" s="24">
        <v>2</v>
      </c>
      <c r="W50" s="24">
        <v>2</v>
      </c>
      <c r="X50" s="24">
        <v>2</v>
      </c>
      <c r="Y50" s="24">
        <v>2</v>
      </c>
      <c r="Z50" s="24">
        <v>2</v>
      </c>
      <c r="AA50" s="24">
        <v>2</v>
      </c>
      <c r="AB50" s="24">
        <v>2</v>
      </c>
      <c r="AC50" s="24">
        <v>2</v>
      </c>
      <c r="AD50" s="24">
        <v>2</v>
      </c>
      <c r="AF50" s="21">
        <v>5</v>
      </c>
      <c r="AI50" s="22" t="s">
        <v>19</v>
      </c>
      <c r="AK50" s="25" t="s">
        <v>21</v>
      </c>
    </row>
    <row r="51" spans="1:37" s="24" customFormat="1" x14ac:dyDescent="0.2">
      <c r="A51" s="21">
        <v>96</v>
      </c>
      <c r="B51" s="21"/>
      <c r="C51" s="22">
        <v>49</v>
      </c>
      <c r="D51" s="22">
        <v>-61</v>
      </c>
      <c r="E51" s="22">
        <v>34</v>
      </c>
      <c r="F51" s="22"/>
      <c r="G51" s="23">
        <v>52.04</v>
      </c>
      <c r="H51" s="23">
        <v>-59.37</v>
      </c>
      <c r="I51" s="23">
        <v>35.520000000000003</v>
      </c>
      <c r="J51" s="22"/>
      <c r="L51" s="24">
        <v>2</v>
      </c>
      <c r="M51" s="24">
        <v>2</v>
      </c>
      <c r="N51" s="24">
        <v>2</v>
      </c>
      <c r="O51" s="24">
        <v>2</v>
      </c>
      <c r="P51" s="24">
        <v>2</v>
      </c>
      <c r="Q51" s="24">
        <v>2</v>
      </c>
      <c r="R51" s="24">
        <v>2</v>
      </c>
      <c r="S51" s="24">
        <v>2</v>
      </c>
      <c r="T51" s="24">
        <v>2</v>
      </c>
      <c r="V51" s="24">
        <v>2</v>
      </c>
      <c r="W51" s="24">
        <v>2</v>
      </c>
      <c r="X51" s="24">
        <v>2</v>
      </c>
      <c r="Y51" s="24">
        <v>2</v>
      </c>
      <c r="Z51" s="24">
        <v>2</v>
      </c>
      <c r="AA51" s="24">
        <v>2</v>
      </c>
      <c r="AB51" s="24">
        <v>2</v>
      </c>
      <c r="AC51" s="24">
        <v>2</v>
      </c>
      <c r="AD51" s="24">
        <v>2</v>
      </c>
      <c r="AF51" s="21">
        <v>5</v>
      </c>
      <c r="AI51" s="22" t="s">
        <v>19</v>
      </c>
      <c r="AK51" s="25" t="s">
        <v>21</v>
      </c>
    </row>
    <row r="52" spans="1:37" s="24" customFormat="1" x14ac:dyDescent="0.2">
      <c r="A52" s="21">
        <v>97</v>
      </c>
      <c r="B52" s="21"/>
      <c r="C52" s="22">
        <v>21</v>
      </c>
      <c r="D52" s="22">
        <v>27</v>
      </c>
      <c r="E52" s="22">
        <v>50</v>
      </c>
      <c r="F52" s="22"/>
      <c r="G52" s="23">
        <v>23.33</v>
      </c>
      <c r="H52" s="23">
        <v>33.07</v>
      </c>
      <c r="I52" s="23">
        <v>47.68</v>
      </c>
      <c r="J52" s="22"/>
      <c r="L52" s="24">
        <v>2</v>
      </c>
      <c r="M52" s="24">
        <v>2</v>
      </c>
      <c r="N52" s="24">
        <v>2</v>
      </c>
      <c r="O52" s="24">
        <v>2</v>
      </c>
      <c r="P52" s="24">
        <v>2</v>
      </c>
      <c r="Q52" s="24">
        <v>2</v>
      </c>
      <c r="R52" s="24">
        <v>2</v>
      </c>
      <c r="S52" s="24">
        <v>2</v>
      </c>
      <c r="T52" s="24">
        <v>2</v>
      </c>
      <c r="V52" s="24">
        <v>2</v>
      </c>
      <c r="W52" s="24">
        <v>2</v>
      </c>
      <c r="X52" s="24">
        <v>2</v>
      </c>
      <c r="Y52" s="24">
        <v>2</v>
      </c>
      <c r="Z52" s="24">
        <v>2</v>
      </c>
      <c r="AA52" s="24">
        <v>2</v>
      </c>
      <c r="AB52" s="24">
        <v>2</v>
      </c>
      <c r="AC52" s="24">
        <v>2</v>
      </c>
      <c r="AD52" s="24">
        <v>2</v>
      </c>
      <c r="AF52" s="21">
        <v>5</v>
      </c>
      <c r="AI52" s="22" t="s">
        <v>19</v>
      </c>
      <c r="AK52" s="25" t="s">
        <v>21</v>
      </c>
    </row>
    <row r="53" spans="1:37" s="24" customFormat="1" x14ac:dyDescent="0.2">
      <c r="A53" s="21">
        <v>98</v>
      </c>
      <c r="B53" s="21"/>
      <c r="C53" s="22">
        <v>-11</v>
      </c>
      <c r="D53" s="22">
        <v>33</v>
      </c>
      <c r="E53" s="22">
        <v>54</v>
      </c>
      <c r="F53" s="22"/>
      <c r="G53" s="23">
        <v>-10.09</v>
      </c>
      <c r="H53" s="23">
        <v>39.090000000000003</v>
      </c>
      <c r="I53" s="23">
        <v>52.29</v>
      </c>
      <c r="J53" s="22"/>
      <c r="L53" s="24">
        <v>2</v>
      </c>
      <c r="M53" s="24">
        <v>2</v>
      </c>
      <c r="N53" s="24">
        <v>2</v>
      </c>
      <c r="O53" s="24">
        <v>2</v>
      </c>
      <c r="P53" s="24">
        <v>2</v>
      </c>
      <c r="Q53" s="24">
        <v>2</v>
      </c>
      <c r="R53" s="24">
        <v>2</v>
      </c>
      <c r="S53" s="24">
        <v>2</v>
      </c>
      <c r="T53" s="24">
        <v>2</v>
      </c>
      <c r="V53" s="24">
        <v>2</v>
      </c>
      <c r="W53" s="24">
        <v>2</v>
      </c>
      <c r="X53" s="24">
        <v>2</v>
      </c>
      <c r="Y53" s="24">
        <v>2</v>
      </c>
      <c r="Z53" s="24">
        <v>2</v>
      </c>
      <c r="AA53" s="24">
        <v>2</v>
      </c>
      <c r="AB53" s="24">
        <v>2</v>
      </c>
      <c r="AC53" s="24">
        <v>2</v>
      </c>
      <c r="AD53" s="24">
        <v>2</v>
      </c>
      <c r="AF53" s="21">
        <v>5</v>
      </c>
      <c r="AI53" s="22" t="s">
        <v>19</v>
      </c>
      <c r="AK53" s="25" t="s">
        <v>21</v>
      </c>
    </row>
    <row r="54" spans="1:37" s="24" customFormat="1" x14ac:dyDescent="0.2">
      <c r="A54" s="21">
        <v>99</v>
      </c>
      <c r="B54" s="21"/>
      <c r="C54" s="22">
        <v>-17</v>
      </c>
      <c r="D54" s="22">
        <v>23</v>
      </c>
      <c r="E54" s="22">
        <v>54</v>
      </c>
      <c r="F54" s="22"/>
      <c r="G54" s="23">
        <v>-16.399999999999999</v>
      </c>
      <c r="H54" s="23">
        <v>28.52</v>
      </c>
      <c r="I54" s="23">
        <v>53.05</v>
      </c>
      <c r="J54" s="22"/>
      <c r="L54" s="24">
        <v>2</v>
      </c>
      <c r="M54" s="24">
        <v>2</v>
      </c>
      <c r="N54" s="24">
        <v>2</v>
      </c>
      <c r="O54" s="24">
        <v>2</v>
      </c>
      <c r="P54" s="24">
        <v>2</v>
      </c>
      <c r="Q54" s="24">
        <v>2</v>
      </c>
      <c r="R54" s="24">
        <v>2</v>
      </c>
      <c r="S54" s="24">
        <v>2</v>
      </c>
      <c r="T54" s="24">
        <v>2</v>
      </c>
      <c r="V54" s="24">
        <v>2</v>
      </c>
      <c r="W54" s="24">
        <v>2</v>
      </c>
      <c r="X54" s="24">
        <v>2</v>
      </c>
      <c r="Y54" s="24">
        <v>2</v>
      </c>
      <c r="Z54" s="24">
        <v>2</v>
      </c>
      <c r="AA54" s="24">
        <v>2</v>
      </c>
      <c r="AB54" s="24">
        <v>2</v>
      </c>
      <c r="AC54" s="24">
        <v>2</v>
      </c>
      <c r="AD54" s="24">
        <v>2</v>
      </c>
      <c r="AF54" s="21">
        <v>5</v>
      </c>
      <c r="AI54" s="22" t="s">
        <v>19</v>
      </c>
      <c r="AK54" s="25" t="s">
        <v>21</v>
      </c>
    </row>
    <row r="55" spans="1:37" s="24" customFormat="1" x14ac:dyDescent="0.2">
      <c r="A55" s="21">
        <v>100</v>
      </c>
      <c r="B55" s="21"/>
      <c r="C55" s="22">
        <v>-35</v>
      </c>
      <c r="D55" s="22">
        <v>15</v>
      </c>
      <c r="E55" s="22">
        <v>51</v>
      </c>
      <c r="F55" s="22"/>
      <c r="G55" s="23">
        <v>-35.36</v>
      </c>
      <c r="H55" s="23">
        <v>19.86</v>
      </c>
      <c r="I55" s="23">
        <v>50.8</v>
      </c>
      <c r="J55" s="22"/>
      <c r="L55" s="24">
        <v>2</v>
      </c>
      <c r="M55" s="24">
        <v>2</v>
      </c>
      <c r="N55" s="24">
        <v>2</v>
      </c>
      <c r="O55" s="24">
        <v>2</v>
      </c>
      <c r="P55" s="24">
        <v>2</v>
      </c>
      <c r="Q55" s="24">
        <v>2</v>
      </c>
      <c r="R55" s="24">
        <v>2</v>
      </c>
      <c r="S55" s="24">
        <v>2</v>
      </c>
      <c r="T55" s="24">
        <v>2</v>
      </c>
      <c r="V55" s="24">
        <v>2</v>
      </c>
      <c r="W55" s="24">
        <v>2</v>
      </c>
      <c r="X55" s="24">
        <v>2</v>
      </c>
      <c r="Y55" s="24">
        <v>2</v>
      </c>
      <c r="Z55" s="24">
        <v>2</v>
      </c>
      <c r="AA55" s="24">
        <v>2</v>
      </c>
      <c r="AB55" s="24">
        <v>2</v>
      </c>
      <c r="AC55" s="24">
        <v>2</v>
      </c>
      <c r="AD55" s="24">
        <v>2</v>
      </c>
      <c r="AF55" s="21">
        <v>5</v>
      </c>
      <c r="AI55" s="22" t="s">
        <v>19</v>
      </c>
      <c r="AK55" s="25" t="s">
        <v>21</v>
      </c>
    </row>
    <row r="56" spans="1:37" s="24" customFormat="1" x14ac:dyDescent="0.2">
      <c r="A56" s="21">
        <v>101</v>
      </c>
      <c r="B56" s="21"/>
      <c r="C56" s="22">
        <v>20</v>
      </c>
      <c r="D56" s="22">
        <v>33</v>
      </c>
      <c r="E56" s="22">
        <v>42</v>
      </c>
      <c r="F56" s="22"/>
      <c r="G56" s="23">
        <v>22.11</v>
      </c>
      <c r="H56" s="23">
        <v>39.21</v>
      </c>
      <c r="I56" s="23">
        <v>38.9</v>
      </c>
      <c r="J56" s="22"/>
      <c r="L56" s="24">
        <v>2</v>
      </c>
      <c r="M56" s="24">
        <v>2</v>
      </c>
      <c r="N56" s="24">
        <v>2</v>
      </c>
      <c r="O56" s="24">
        <v>2</v>
      </c>
      <c r="P56" s="24">
        <v>2</v>
      </c>
      <c r="Q56" s="24">
        <v>2</v>
      </c>
      <c r="R56" s="24">
        <v>2</v>
      </c>
      <c r="S56" s="24">
        <v>2</v>
      </c>
      <c r="T56" s="24">
        <v>2</v>
      </c>
      <c r="V56" s="24">
        <v>2</v>
      </c>
      <c r="W56" s="24">
        <v>2</v>
      </c>
      <c r="X56" s="24">
        <v>2</v>
      </c>
      <c r="Y56" s="24">
        <v>2</v>
      </c>
      <c r="Z56" s="24">
        <v>2</v>
      </c>
      <c r="AA56" s="24">
        <v>2</v>
      </c>
      <c r="AB56" s="24">
        <v>2</v>
      </c>
      <c r="AC56" s="24">
        <v>2</v>
      </c>
      <c r="AD56" s="24">
        <v>2</v>
      </c>
      <c r="AF56" s="21">
        <v>5</v>
      </c>
      <c r="AI56" s="22" t="s">
        <v>19</v>
      </c>
      <c r="AK56" s="25" t="s">
        <v>21</v>
      </c>
    </row>
    <row r="57" spans="1:37" s="24" customFormat="1" x14ac:dyDescent="0.2">
      <c r="A57" s="21">
        <v>102</v>
      </c>
      <c r="B57" s="21"/>
      <c r="C57" s="22">
        <v>11</v>
      </c>
      <c r="D57" s="22">
        <v>48</v>
      </c>
      <c r="E57" s="22">
        <v>42</v>
      </c>
      <c r="F57" s="22"/>
      <c r="G57" s="23">
        <v>12.73</v>
      </c>
      <c r="H57" s="23">
        <v>54.87</v>
      </c>
      <c r="I57" s="23">
        <v>38.19</v>
      </c>
      <c r="J57" s="22"/>
      <c r="L57" s="24">
        <v>2</v>
      </c>
      <c r="M57" s="24">
        <v>2</v>
      </c>
      <c r="N57" s="24">
        <v>2</v>
      </c>
      <c r="O57" s="24">
        <v>2</v>
      </c>
      <c r="P57" s="24">
        <v>2</v>
      </c>
      <c r="Q57" s="24">
        <v>2</v>
      </c>
      <c r="R57" s="24">
        <v>2</v>
      </c>
      <c r="S57" s="24">
        <v>2</v>
      </c>
      <c r="T57" s="24">
        <v>2</v>
      </c>
      <c r="V57" s="24">
        <v>2</v>
      </c>
      <c r="W57" s="24">
        <v>2</v>
      </c>
      <c r="X57" s="24">
        <v>2</v>
      </c>
      <c r="Y57" s="24">
        <v>2</v>
      </c>
      <c r="Z57" s="24">
        <v>2</v>
      </c>
      <c r="AA57" s="24">
        <v>2</v>
      </c>
      <c r="AB57" s="24">
        <v>2</v>
      </c>
      <c r="AC57" s="24">
        <v>2</v>
      </c>
      <c r="AD57" s="24">
        <v>2</v>
      </c>
      <c r="AF57" s="21">
        <v>5</v>
      </c>
      <c r="AI57" s="22" t="s">
        <v>19</v>
      </c>
      <c r="AK57" s="25" t="s">
        <v>21</v>
      </c>
    </row>
    <row r="58" spans="1:37" s="24" customFormat="1" x14ac:dyDescent="0.2">
      <c r="A58" s="21">
        <v>103</v>
      </c>
      <c r="B58" s="21"/>
      <c r="C58" s="22">
        <v>-11</v>
      </c>
      <c r="D58" s="22">
        <v>48</v>
      </c>
      <c r="E58" s="22">
        <v>42</v>
      </c>
      <c r="F58" s="22"/>
      <c r="G58" s="23">
        <v>-10.33</v>
      </c>
      <c r="H58" s="23">
        <v>54.63</v>
      </c>
      <c r="I58" s="23">
        <v>38.71</v>
      </c>
      <c r="J58" s="22"/>
      <c r="L58" s="24">
        <v>2</v>
      </c>
      <c r="M58" s="24">
        <v>2</v>
      </c>
      <c r="N58" s="24">
        <v>2</v>
      </c>
      <c r="O58" s="24">
        <v>2</v>
      </c>
      <c r="P58" s="24">
        <v>2</v>
      </c>
      <c r="Q58" s="24">
        <v>2</v>
      </c>
      <c r="R58" s="24">
        <v>2</v>
      </c>
      <c r="S58" s="24">
        <v>2</v>
      </c>
      <c r="T58" s="24">
        <v>2</v>
      </c>
      <c r="V58" s="24">
        <v>2</v>
      </c>
      <c r="W58" s="24">
        <v>2</v>
      </c>
      <c r="X58" s="24">
        <v>2</v>
      </c>
      <c r="Y58" s="24">
        <v>2</v>
      </c>
      <c r="Z58" s="24">
        <v>2</v>
      </c>
      <c r="AA58" s="24">
        <v>2</v>
      </c>
      <c r="AB58" s="24">
        <v>2</v>
      </c>
      <c r="AC58" s="24">
        <v>2</v>
      </c>
      <c r="AD58" s="24">
        <v>2</v>
      </c>
      <c r="AF58" s="21">
        <v>5</v>
      </c>
      <c r="AI58" s="22" t="s">
        <v>19</v>
      </c>
      <c r="AK58" s="25" t="s">
        <v>21</v>
      </c>
    </row>
    <row r="59" spans="1:37" s="24" customFormat="1" x14ac:dyDescent="0.2">
      <c r="A59" s="21">
        <v>104</v>
      </c>
      <c r="B59" s="21"/>
      <c r="C59" s="22">
        <v>-20</v>
      </c>
      <c r="D59" s="22">
        <v>39</v>
      </c>
      <c r="E59" s="22">
        <v>42</v>
      </c>
      <c r="F59" s="22"/>
      <c r="G59" s="23">
        <v>-19.78</v>
      </c>
      <c r="H59" s="23">
        <v>45.07</v>
      </c>
      <c r="I59" s="23">
        <v>39.479999999999997</v>
      </c>
      <c r="J59" s="22"/>
      <c r="L59" s="24">
        <v>2</v>
      </c>
      <c r="M59" s="24">
        <v>2</v>
      </c>
      <c r="N59" s="24">
        <v>2</v>
      </c>
      <c r="O59" s="24">
        <v>2</v>
      </c>
      <c r="P59" s="24">
        <v>2</v>
      </c>
      <c r="Q59" s="24">
        <v>2</v>
      </c>
      <c r="R59" s="24">
        <v>2</v>
      </c>
      <c r="S59" s="24">
        <v>2</v>
      </c>
      <c r="T59" s="24">
        <v>2</v>
      </c>
      <c r="V59" s="24">
        <v>2</v>
      </c>
      <c r="W59" s="24">
        <v>2</v>
      </c>
      <c r="X59" s="24">
        <v>2</v>
      </c>
      <c r="Y59" s="24">
        <v>2</v>
      </c>
      <c r="Z59" s="24">
        <v>2</v>
      </c>
      <c r="AA59" s="24">
        <v>2</v>
      </c>
      <c r="AB59" s="24">
        <v>2</v>
      </c>
      <c r="AC59" s="24">
        <v>2</v>
      </c>
      <c r="AD59" s="24">
        <v>2</v>
      </c>
      <c r="AF59" s="21">
        <v>5</v>
      </c>
      <c r="AI59" s="22" t="s">
        <v>19</v>
      </c>
      <c r="AK59" s="25" t="s">
        <v>21</v>
      </c>
    </row>
    <row r="60" spans="1:37" s="24" customFormat="1" x14ac:dyDescent="0.2">
      <c r="A60" s="21">
        <v>105</v>
      </c>
      <c r="B60" s="21"/>
      <c r="C60" s="22">
        <v>5</v>
      </c>
      <c r="D60" s="22">
        <v>48</v>
      </c>
      <c r="E60" s="22">
        <v>21</v>
      </c>
      <c r="F60" s="22"/>
      <c r="G60" s="23">
        <v>5.94</v>
      </c>
      <c r="H60" s="23">
        <v>54.42</v>
      </c>
      <c r="I60" s="23">
        <v>16.18</v>
      </c>
      <c r="J60" s="22"/>
      <c r="L60" s="24">
        <v>2</v>
      </c>
      <c r="M60" s="24">
        <v>2</v>
      </c>
      <c r="N60" s="24">
        <v>2</v>
      </c>
      <c r="O60" s="24">
        <v>2</v>
      </c>
      <c r="P60" s="24">
        <v>2</v>
      </c>
      <c r="Q60" s="24">
        <v>2</v>
      </c>
      <c r="R60" s="24">
        <v>2</v>
      </c>
      <c r="S60" s="24">
        <v>2</v>
      </c>
      <c r="T60" s="24">
        <v>2</v>
      </c>
      <c r="V60" s="24">
        <v>2</v>
      </c>
      <c r="W60" s="24">
        <v>2</v>
      </c>
      <c r="X60" s="24">
        <v>2</v>
      </c>
      <c r="Y60" s="24">
        <v>2</v>
      </c>
      <c r="Z60" s="24">
        <v>2</v>
      </c>
      <c r="AA60" s="24">
        <v>2</v>
      </c>
      <c r="AB60" s="24">
        <v>2</v>
      </c>
      <c r="AC60" s="24">
        <v>2</v>
      </c>
      <c r="AD60" s="24">
        <v>2</v>
      </c>
      <c r="AF60" s="21">
        <v>5</v>
      </c>
      <c r="AI60" s="22" t="s">
        <v>19</v>
      </c>
      <c r="AK60" s="25" t="s">
        <v>21</v>
      </c>
    </row>
    <row r="61" spans="1:37" s="24" customFormat="1" x14ac:dyDescent="0.2">
      <c r="A61" s="21">
        <v>106</v>
      </c>
      <c r="B61" s="21"/>
      <c r="C61" s="22">
        <v>5</v>
      </c>
      <c r="D61" s="22">
        <v>57</v>
      </c>
      <c r="E61" s="22">
        <v>27</v>
      </c>
      <c r="F61" s="22"/>
      <c r="G61" s="23">
        <v>6.11</v>
      </c>
      <c r="H61" s="23">
        <v>63.98</v>
      </c>
      <c r="I61" s="23">
        <v>21.96</v>
      </c>
      <c r="J61" s="22"/>
      <c r="L61" s="24">
        <v>2</v>
      </c>
      <c r="M61" s="24">
        <v>2</v>
      </c>
      <c r="N61" s="24">
        <v>2</v>
      </c>
      <c r="O61" s="24">
        <v>2</v>
      </c>
      <c r="P61" s="24">
        <v>2</v>
      </c>
      <c r="Q61" s="24">
        <v>2</v>
      </c>
      <c r="R61" s="24">
        <v>2</v>
      </c>
      <c r="S61" s="24">
        <v>2</v>
      </c>
      <c r="T61" s="24">
        <v>2</v>
      </c>
      <c r="V61" s="24">
        <v>2</v>
      </c>
      <c r="W61" s="24">
        <v>2</v>
      </c>
      <c r="X61" s="24">
        <v>2</v>
      </c>
      <c r="Y61" s="24">
        <v>2</v>
      </c>
      <c r="Z61" s="24">
        <v>2</v>
      </c>
      <c r="AA61" s="24">
        <v>2</v>
      </c>
      <c r="AB61" s="24">
        <v>2</v>
      </c>
      <c r="AC61" s="24">
        <v>2</v>
      </c>
      <c r="AD61" s="24">
        <v>2</v>
      </c>
      <c r="AF61" s="21">
        <v>5</v>
      </c>
      <c r="AI61" s="22" t="s">
        <v>19</v>
      </c>
      <c r="AK61" s="25" t="s">
        <v>21</v>
      </c>
    </row>
    <row r="62" spans="1:37" s="24" customFormat="1" x14ac:dyDescent="0.2">
      <c r="A62" s="21">
        <v>107</v>
      </c>
      <c r="B62" s="21"/>
      <c r="C62" s="22">
        <v>-7</v>
      </c>
      <c r="D62" s="22">
        <v>45</v>
      </c>
      <c r="E62" s="22">
        <v>4</v>
      </c>
      <c r="F62" s="22"/>
      <c r="G62" s="23">
        <v>-7.04</v>
      </c>
      <c r="H62" s="23">
        <v>50.82</v>
      </c>
      <c r="I62" s="23">
        <v>-1.29</v>
      </c>
      <c r="J62" s="22"/>
      <c r="L62" s="24">
        <v>2</v>
      </c>
      <c r="M62" s="24">
        <v>2</v>
      </c>
      <c r="N62" s="24">
        <v>2</v>
      </c>
      <c r="O62" s="24">
        <v>2</v>
      </c>
      <c r="P62" s="24">
        <v>2</v>
      </c>
      <c r="Q62" s="24">
        <v>2</v>
      </c>
      <c r="R62" s="24">
        <v>2</v>
      </c>
      <c r="S62" s="24">
        <v>2</v>
      </c>
      <c r="T62" s="24">
        <v>2</v>
      </c>
      <c r="V62" s="24">
        <v>2</v>
      </c>
      <c r="W62" s="24">
        <v>2</v>
      </c>
      <c r="X62" s="24">
        <v>2</v>
      </c>
      <c r="Y62" s="24">
        <v>2</v>
      </c>
      <c r="Z62" s="24">
        <v>2</v>
      </c>
      <c r="AA62" s="24">
        <v>2</v>
      </c>
      <c r="AB62" s="24">
        <v>2</v>
      </c>
      <c r="AC62" s="24">
        <v>2</v>
      </c>
      <c r="AD62" s="24">
        <v>2</v>
      </c>
      <c r="AF62" s="21">
        <v>5</v>
      </c>
      <c r="AI62" s="22" t="s">
        <v>19</v>
      </c>
      <c r="AK62" s="25" t="s">
        <v>21</v>
      </c>
    </row>
    <row r="63" spans="1:37" s="24" customFormat="1" x14ac:dyDescent="0.2">
      <c r="A63" s="21">
        <v>108</v>
      </c>
      <c r="B63" s="21"/>
      <c r="C63" s="22">
        <v>8</v>
      </c>
      <c r="D63" s="22">
        <v>48</v>
      </c>
      <c r="E63" s="22">
        <v>9</v>
      </c>
      <c r="F63" s="22"/>
      <c r="G63" s="23">
        <v>8.8000000000000007</v>
      </c>
      <c r="H63" s="23">
        <v>54.23</v>
      </c>
      <c r="I63" s="23">
        <v>3.45</v>
      </c>
      <c r="J63" s="22"/>
      <c r="L63" s="24">
        <v>2</v>
      </c>
      <c r="M63" s="24">
        <v>2</v>
      </c>
      <c r="N63" s="24">
        <v>2</v>
      </c>
      <c r="O63" s="24">
        <v>2</v>
      </c>
      <c r="P63" s="24">
        <v>2</v>
      </c>
      <c r="Q63" s="24">
        <v>2</v>
      </c>
      <c r="R63" s="24">
        <v>2</v>
      </c>
      <c r="S63" s="24">
        <v>2</v>
      </c>
      <c r="T63" s="24">
        <v>2</v>
      </c>
      <c r="V63" s="24">
        <v>2</v>
      </c>
      <c r="W63" s="24">
        <v>2</v>
      </c>
      <c r="X63" s="24">
        <v>2</v>
      </c>
      <c r="Y63" s="24">
        <v>2</v>
      </c>
      <c r="Z63" s="24">
        <v>2</v>
      </c>
      <c r="AA63" s="24">
        <v>2</v>
      </c>
      <c r="AB63" s="24">
        <v>2</v>
      </c>
      <c r="AC63" s="24">
        <v>2</v>
      </c>
      <c r="AD63" s="24">
        <v>2</v>
      </c>
      <c r="AF63" s="21">
        <v>5</v>
      </c>
      <c r="AI63" s="22" t="s">
        <v>19</v>
      </c>
      <c r="AK63" s="25" t="s">
        <v>21</v>
      </c>
    </row>
    <row r="64" spans="1:37" s="24" customFormat="1" x14ac:dyDescent="0.2">
      <c r="A64" s="21">
        <v>109</v>
      </c>
      <c r="B64" s="21"/>
      <c r="C64" s="22">
        <v>-3</v>
      </c>
      <c r="D64" s="22">
        <v>39</v>
      </c>
      <c r="E64" s="22">
        <v>-4</v>
      </c>
      <c r="F64" s="22"/>
      <c r="G64" s="23">
        <v>-3.06</v>
      </c>
      <c r="H64" s="23">
        <v>44.41</v>
      </c>
      <c r="I64" s="23">
        <v>-9.4600000000000009</v>
      </c>
      <c r="J64" s="22"/>
      <c r="L64" s="24">
        <v>2</v>
      </c>
      <c r="M64" s="24">
        <v>2</v>
      </c>
      <c r="N64" s="24">
        <v>2</v>
      </c>
      <c r="O64" s="24">
        <v>2</v>
      </c>
      <c r="P64" s="24">
        <v>2</v>
      </c>
      <c r="Q64" s="24">
        <v>2</v>
      </c>
      <c r="R64" s="24">
        <v>2</v>
      </c>
      <c r="S64" s="24">
        <v>2</v>
      </c>
      <c r="T64" s="24">
        <v>2</v>
      </c>
      <c r="V64" s="24">
        <v>2</v>
      </c>
      <c r="W64" s="24">
        <v>2</v>
      </c>
      <c r="X64" s="24">
        <v>2</v>
      </c>
      <c r="Y64" s="24">
        <v>2</v>
      </c>
      <c r="Z64" s="24">
        <v>2</v>
      </c>
      <c r="AA64" s="24">
        <v>2</v>
      </c>
      <c r="AB64" s="24">
        <v>2</v>
      </c>
      <c r="AC64" s="24">
        <v>2</v>
      </c>
      <c r="AD64" s="24">
        <v>2</v>
      </c>
      <c r="AF64" s="21">
        <v>5</v>
      </c>
      <c r="AI64" s="22" t="s">
        <v>19</v>
      </c>
      <c r="AK64" s="25" t="s">
        <v>21</v>
      </c>
    </row>
    <row r="65" spans="1:47" s="24" customFormat="1" x14ac:dyDescent="0.2">
      <c r="A65" s="21">
        <v>110</v>
      </c>
      <c r="B65" s="21"/>
      <c r="C65" s="22">
        <v>7</v>
      </c>
      <c r="D65" s="22">
        <v>37</v>
      </c>
      <c r="E65" s="22">
        <v>0</v>
      </c>
      <c r="F65" s="22"/>
      <c r="G65" s="23">
        <v>7.51</v>
      </c>
      <c r="H65" s="23">
        <v>42.49</v>
      </c>
      <c r="I65" s="23">
        <v>-5.35</v>
      </c>
      <c r="J65" s="22"/>
      <c r="L65" s="24">
        <v>2</v>
      </c>
      <c r="M65" s="24">
        <v>2</v>
      </c>
      <c r="N65" s="24">
        <v>2</v>
      </c>
      <c r="O65" s="24">
        <v>2</v>
      </c>
      <c r="P65" s="24">
        <v>2</v>
      </c>
      <c r="Q65" s="24">
        <v>2</v>
      </c>
      <c r="R65" s="24">
        <v>2</v>
      </c>
      <c r="S65" s="24">
        <v>2</v>
      </c>
      <c r="T65" s="24">
        <v>2</v>
      </c>
      <c r="V65" s="24">
        <v>2</v>
      </c>
      <c r="W65" s="24">
        <v>2</v>
      </c>
      <c r="X65" s="24">
        <v>2</v>
      </c>
      <c r="Y65" s="24">
        <v>2</v>
      </c>
      <c r="Z65" s="24">
        <v>2</v>
      </c>
      <c r="AA65" s="24">
        <v>2</v>
      </c>
      <c r="AB65" s="24">
        <v>2</v>
      </c>
      <c r="AC65" s="24">
        <v>2</v>
      </c>
      <c r="AD65" s="24">
        <v>2</v>
      </c>
      <c r="AF65" s="21">
        <v>5</v>
      </c>
      <c r="AI65" s="22" t="s">
        <v>19</v>
      </c>
      <c r="AK65" s="25" t="s">
        <v>21</v>
      </c>
    </row>
    <row r="66" spans="1:47" s="24" customFormat="1" x14ac:dyDescent="0.2">
      <c r="A66" s="21">
        <v>111</v>
      </c>
      <c r="B66" s="21"/>
      <c r="C66" s="22">
        <v>-11</v>
      </c>
      <c r="D66" s="22">
        <v>39</v>
      </c>
      <c r="E66" s="22">
        <v>12</v>
      </c>
      <c r="F66" s="22"/>
      <c r="G66" s="23">
        <v>-11.06</v>
      </c>
      <c r="H66" s="23">
        <v>44.62</v>
      </c>
      <c r="I66" s="23">
        <v>7.61</v>
      </c>
      <c r="J66" s="22"/>
      <c r="L66" s="24">
        <v>2</v>
      </c>
      <c r="M66" s="24">
        <v>2</v>
      </c>
      <c r="N66" s="24">
        <v>2</v>
      </c>
      <c r="O66" s="24">
        <v>2</v>
      </c>
      <c r="P66" s="24">
        <v>2</v>
      </c>
      <c r="Q66" s="24">
        <v>2</v>
      </c>
      <c r="R66" s="24">
        <v>2</v>
      </c>
      <c r="S66" s="24">
        <v>2</v>
      </c>
      <c r="T66" s="24">
        <v>2</v>
      </c>
      <c r="V66" s="24">
        <v>2</v>
      </c>
      <c r="W66" s="24">
        <v>2</v>
      </c>
      <c r="X66" s="24">
        <v>2</v>
      </c>
      <c r="Y66" s="24">
        <v>2</v>
      </c>
      <c r="Z66" s="24">
        <v>2</v>
      </c>
      <c r="AA66" s="24">
        <v>2</v>
      </c>
      <c r="AB66" s="24">
        <v>2</v>
      </c>
      <c r="AC66" s="24">
        <v>2</v>
      </c>
      <c r="AD66" s="24">
        <v>2</v>
      </c>
      <c r="AF66" s="21">
        <v>5</v>
      </c>
      <c r="AI66" s="22" t="s">
        <v>19</v>
      </c>
      <c r="AK66" s="25" t="s">
        <v>21</v>
      </c>
    </row>
    <row r="67" spans="1:47" s="24" customFormat="1" x14ac:dyDescent="0.2">
      <c r="A67" s="21">
        <v>112</v>
      </c>
      <c r="B67" s="21"/>
      <c r="C67" s="22">
        <v>-3</v>
      </c>
      <c r="D67" s="22">
        <v>32</v>
      </c>
      <c r="E67" s="22">
        <v>39</v>
      </c>
      <c r="F67" s="22"/>
      <c r="G67" s="23">
        <v>-2.06</v>
      </c>
      <c r="H67" s="23">
        <v>37.85</v>
      </c>
      <c r="I67" s="23">
        <v>36.340000000000003</v>
      </c>
      <c r="J67" s="22"/>
      <c r="L67" s="24">
        <v>2</v>
      </c>
      <c r="M67" s="24">
        <v>2</v>
      </c>
      <c r="N67" s="24">
        <v>2</v>
      </c>
      <c r="O67" s="24">
        <v>2</v>
      </c>
      <c r="P67" s="24">
        <v>2</v>
      </c>
      <c r="Q67" s="24">
        <v>2</v>
      </c>
      <c r="R67" s="24">
        <v>2</v>
      </c>
      <c r="S67" s="24">
        <v>2</v>
      </c>
      <c r="T67" s="24">
        <v>2</v>
      </c>
      <c r="V67" s="24">
        <v>2</v>
      </c>
      <c r="W67" s="24">
        <v>2</v>
      </c>
      <c r="X67" s="24">
        <v>2</v>
      </c>
      <c r="Y67" s="24">
        <v>2</v>
      </c>
      <c r="Z67" s="24">
        <v>2</v>
      </c>
      <c r="AA67" s="24">
        <v>2</v>
      </c>
      <c r="AB67" s="24">
        <v>2</v>
      </c>
      <c r="AC67" s="24">
        <v>2</v>
      </c>
      <c r="AD67" s="24">
        <v>4</v>
      </c>
      <c r="AF67" s="21">
        <v>5</v>
      </c>
      <c r="AI67" s="22" t="s">
        <v>19</v>
      </c>
      <c r="AK67" s="25" t="s">
        <v>21</v>
      </c>
    </row>
    <row r="68" spans="1:47" s="24" customFormat="1" x14ac:dyDescent="0.2">
      <c r="A68" s="21">
        <v>113</v>
      </c>
      <c r="B68" s="21"/>
      <c r="C68" s="22">
        <v>-3</v>
      </c>
      <c r="D68" s="22">
        <v>36</v>
      </c>
      <c r="E68" s="22">
        <v>20</v>
      </c>
      <c r="F68" s="22"/>
      <c r="G68" s="23">
        <v>-2.5</v>
      </c>
      <c r="H68" s="23">
        <v>41.7</v>
      </c>
      <c r="I68" s="23">
        <v>16.05</v>
      </c>
      <c r="J68" s="22"/>
      <c r="L68" s="24">
        <v>2</v>
      </c>
      <c r="M68" s="24">
        <v>2</v>
      </c>
      <c r="N68" s="24">
        <v>2</v>
      </c>
      <c r="O68" s="24">
        <v>2</v>
      </c>
      <c r="P68" s="24">
        <v>2</v>
      </c>
      <c r="Q68" s="24">
        <v>2</v>
      </c>
      <c r="R68" s="24">
        <v>2</v>
      </c>
      <c r="S68" s="24">
        <v>2</v>
      </c>
      <c r="T68" s="24">
        <v>2</v>
      </c>
      <c r="V68" s="24">
        <v>2</v>
      </c>
      <c r="W68" s="24">
        <v>2</v>
      </c>
      <c r="X68" s="24">
        <v>2</v>
      </c>
      <c r="Y68" s="24">
        <v>2</v>
      </c>
      <c r="Z68" s="24">
        <v>2</v>
      </c>
      <c r="AA68" s="24">
        <v>2</v>
      </c>
      <c r="AB68" s="24">
        <v>2</v>
      </c>
      <c r="AC68" s="24">
        <v>2</v>
      </c>
      <c r="AD68" s="24">
        <v>2</v>
      </c>
      <c r="AF68" s="21">
        <v>5</v>
      </c>
      <c r="AI68" s="22" t="s">
        <v>19</v>
      </c>
      <c r="AK68" s="25" t="s">
        <v>21</v>
      </c>
    </row>
    <row r="69" spans="1:47" s="24" customFormat="1" x14ac:dyDescent="0.2">
      <c r="A69" s="21">
        <v>114</v>
      </c>
      <c r="B69" s="21"/>
      <c r="C69" s="22">
        <v>-20</v>
      </c>
      <c r="D69" s="22">
        <v>57</v>
      </c>
      <c r="E69" s="22">
        <v>24</v>
      </c>
      <c r="F69" s="22"/>
      <c r="G69" s="23">
        <v>-20.16</v>
      </c>
      <c r="H69" s="23">
        <v>63.65</v>
      </c>
      <c r="I69" s="23">
        <v>19.39</v>
      </c>
      <c r="J69" s="22"/>
      <c r="L69" s="24">
        <v>2</v>
      </c>
      <c r="M69" s="24">
        <v>2</v>
      </c>
      <c r="N69" s="24">
        <v>2</v>
      </c>
      <c r="O69" s="24">
        <v>2</v>
      </c>
      <c r="P69" s="24">
        <v>2</v>
      </c>
      <c r="Q69" s="24">
        <v>2</v>
      </c>
      <c r="R69" s="24">
        <v>2</v>
      </c>
      <c r="S69" s="24">
        <v>2</v>
      </c>
      <c r="T69" s="24">
        <v>2</v>
      </c>
      <c r="V69" s="24">
        <v>2</v>
      </c>
      <c r="W69" s="24">
        <v>2</v>
      </c>
      <c r="X69" s="24">
        <v>2</v>
      </c>
      <c r="Y69" s="24">
        <v>2</v>
      </c>
      <c r="Z69" s="24">
        <v>2</v>
      </c>
      <c r="AA69" s="24">
        <v>2</v>
      </c>
      <c r="AB69" s="24">
        <v>2</v>
      </c>
      <c r="AC69" s="24">
        <v>2</v>
      </c>
      <c r="AD69" s="24">
        <v>-1</v>
      </c>
      <c r="AF69" s="21">
        <v>5</v>
      </c>
      <c r="AI69" s="22" t="s">
        <v>19</v>
      </c>
      <c r="AK69" s="25" t="s">
        <v>21</v>
      </c>
    </row>
    <row r="70" spans="1:47" s="24" customFormat="1" x14ac:dyDescent="0.2">
      <c r="A70" s="21">
        <v>115</v>
      </c>
      <c r="B70" s="21"/>
      <c r="C70" s="22">
        <v>-8</v>
      </c>
      <c r="D70" s="22">
        <v>42</v>
      </c>
      <c r="E70" s="22">
        <v>27</v>
      </c>
      <c r="F70" s="22"/>
      <c r="G70" s="23">
        <v>-7.55</v>
      </c>
      <c r="H70" s="23">
        <v>48.08</v>
      </c>
      <c r="I70" s="23">
        <v>23.18</v>
      </c>
      <c r="J70" s="22"/>
      <c r="L70" s="24">
        <v>2</v>
      </c>
      <c r="M70" s="24">
        <v>2</v>
      </c>
      <c r="N70" s="24">
        <v>2</v>
      </c>
      <c r="O70" s="24">
        <v>2</v>
      </c>
      <c r="P70" s="24">
        <v>2</v>
      </c>
      <c r="Q70" s="24">
        <v>2</v>
      </c>
      <c r="R70" s="24">
        <v>2</v>
      </c>
      <c r="S70" s="24">
        <v>2</v>
      </c>
      <c r="T70" s="24">
        <v>2</v>
      </c>
      <c r="V70" s="24">
        <v>2</v>
      </c>
      <c r="W70" s="24">
        <v>2</v>
      </c>
      <c r="X70" s="24">
        <v>2</v>
      </c>
      <c r="Y70" s="24">
        <v>2</v>
      </c>
      <c r="Z70" s="24">
        <v>2</v>
      </c>
      <c r="AA70" s="24">
        <v>2</v>
      </c>
      <c r="AB70" s="24">
        <v>2</v>
      </c>
      <c r="AC70" s="24">
        <v>2</v>
      </c>
      <c r="AD70" s="24">
        <v>2</v>
      </c>
      <c r="AF70" s="21">
        <v>5</v>
      </c>
      <c r="AI70" s="22" t="s">
        <v>19</v>
      </c>
      <c r="AK70" s="25" t="s">
        <v>21</v>
      </c>
    </row>
    <row r="71" spans="1:47" s="24" customFormat="1" x14ac:dyDescent="0.2">
      <c r="A71" s="21">
        <v>116</v>
      </c>
      <c r="B71" s="21"/>
      <c r="C71" s="22">
        <v>62</v>
      </c>
      <c r="D71" s="22">
        <v>-15</v>
      </c>
      <c r="E71" s="22">
        <v>-15</v>
      </c>
      <c r="F71" s="22"/>
      <c r="G71" s="23">
        <v>64.64</v>
      </c>
      <c r="H71" s="23">
        <v>-11.8</v>
      </c>
      <c r="I71" s="23">
        <v>-19.3</v>
      </c>
      <c r="J71" s="22"/>
      <c r="L71" s="24">
        <v>2</v>
      </c>
      <c r="M71" s="24">
        <v>2</v>
      </c>
      <c r="N71" s="24">
        <v>2</v>
      </c>
      <c r="O71" s="24">
        <v>2</v>
      </c>
      <c r="P71" s="24">
        <v>2</v>
      </c>
      <c r="Q71" s="24">
        <v>2</v>
      </c>
      <c r="R71" s="24">
        <v>2</v>
      </c>
      <c r="S71" s="24">
        <v>2</v>
      </c>
      <c r="T71" s="24">
        <v>2</v>
      </c>
      <c r="V71" s="24">
        <v>2</v>
      </c>
      <c r="W71" s="24">
        <v>2</v>
      </c>
      <c r="X71" s="24">
        <v>2</v>
      </c>
      <c r="Y71" s="24">
        <v>2</v>
      </c>
      <c r="Z71" s="24">
        <v>2</v>
      </c>
      <c r="AA71" s="24">
        <v>2</v>
      </c>
      <c r="AB71" s="24">
        <v>2</v>
      </c>
      <c r="AC71" s="24">
        <v>2</v>
      </c>
      <c r="AD71" s="24">
        <v>-1</v>
      </c>
      <c r="AF71" s="21">
        <v>5</v>
      </c>
      <c r="AI71" s="22" t="s">
        <v>19</v>
      </c>
      <c r="AK71" s="25" t="s">
        <v>21</v>
      </c>
      <c r="AQ71" s="24">
        <v>-1</v>
      </c>
      <c r="AS71" s="24">
        <v>255</v>
      </c>
      <c r="AT71" s="24">
        <v>255</v>
      </c>
      <c r="AU71" s="24">
        <v>255</v>
      </c>
    </row>
    <row r="72" spans="1:47" s="24" customFormat="1" x14ac:dyDescent="0.2">
      <c r="A72" s="21">
        <v>117</v>
      </c>
      <c r="B72" s="21"/>
      <c r="C72" s="22">
        <v>-53</v>
      </c>
      <c r="D72" s="22">
        <v>-15</v>
      </c>
      <c r="E72" s="22">
        <v>-9</v>
      </c>
      <c r="F72" s="22"/>
      <c r="G72" s="23">
        <v>-55.72</v>
      </c>
      <c r="H72" s="23">
        <v>-12.96</v>
      </c>
      <c r="I72" s="23">
        <v>-10.24</v>
      </c>
      <c r="J72" s="22"/>
      <c r="L72" s="24">
        <v>2</v>
      </c>
      <c r="M72" s="24">
        <v>2</v>
      </c>
      <c r="N72" s="24">
        <v>2</v>
      </c>
      <c r="O72" s="24">
        <v>2</v>
      </c>
      <c r="P72" s="24">
        <v>2</v>
      </c>
      <c r="Q72" s="24">
        <v>2</v>
      </c>
      <c r="R72" s="24">
        <v>2</v>
      </c>
      <c r="S72" s="24">
        <v>2</v>
      </c>
      <c r="T72" s="24">
        <v>2</v>
      </c>
      <c r="V72" s="24">
        <v>2</v>
      </c>
      <c r="W72" s="24">
        <v>2</v>
      </c>
      <c r="X72" s="24">
        <v>2</v>
      </c>
      <c r="Y72" s="24">
        <v>2</v>
      </c>
      <c r="Z72" s="24">
        <v>2</v>
      </c>
      <c r="AA72" s="24">
        <v>2</v>
      </c>
      <c r="AB72" s="24">
        <v>2</v>
      </c>
      <c r="AC72" s="24">
        <v>2</v>
      </c>
      <c r="AD72" s="24">
        <v>2</v>
      </c>
      <c r="AF72" s="21">
        <v>5</v>
      </c>
      <c r="AI72" s="22" t="s">
        <v>19</v>
      </c>
      <c r="AK72" s="25" t="s">
        <v>21</v>
      </c>
      <c r="AQ72" s="24">
        <v>1</v>
      </c>
      <c r="AS72" s="24">
        <v>0</v>
      </c>
      <c r="AT72" s="24">
        <v>255</v>
      </c>
      <c r="AU72" s="24">
        <v>255</v>
      </c>
    </row>
    <row r="73" spans="1:47" s="24" customFormat="1" x14ac:dyDescent="0.2">
      <c r="A73" s="21">
        <v>118</v>
      </c>
      <c r="B73" s="21"/>
      <c r="C73" s="22">
        <v>-55</v>
      </c>
      <c r="D73" s="22">
        <v>-31</v>
      </c>
      <c r="E73" s="22">
        <v>-4</v>
      </c>
      <c r="F73" s="22"/>
      <c r="G73" s="23">
        <v>-57.75</v>
      </c>
      <c r="H73" s="23">
        <v>-29.7</v>
      </c>
      <c r="I73" s="23">
        <v>-3.94</v>
      </c>
      <c r="J73" s="22"/>
      <c r="L73" s="24">
        <v>2</v>
      </c>
      <c r="M73" s="24">
        <v>2</v>
      </c>
      <c r="N73" s="24">
        <v>2</v>
      </c>
      <c r="O73" s="24">
        <v>2</v>
      </c>
      <c r="P73" s="24">
        <v>2</v>
      </c>
      <c r="Q73" s="24">
        <v>2</v>
      </c>
      <c r="R73" s="24">
        <v>2</v>
      </c>
      <c r="S73" s="24">
        <v>2</v>
      </c>
      <c r="T73" s="24">
        <v>2</v>
      </c>
      <c r="V73" s="24">
        <v>2</v>
      </c>
      <c r="W73" s="24">
        <v>2</v>
      </c>
      <c r="X73" s="24">
        <v>2</v>
      </c>
      <c r="Y73" s="24">
        <v>2</v>
      </c>
      <c r="Z73" s="24">
        <v>2</v>
      </c>
      <c r="AA73" s="24">
        <v>2</v>
      </c>
      <c r="AB73" s="24">
        <v>2</v>
      </c>
      <c r="AC73" s="24">
        <v>2</v>
      </c>
      <c r="AD73" s="24">
        <v>2</v>
      </c>
      <c r="AF73" s="21">
        <v>5</v>
      </c>
      <c r="AI73" s="22" t="s">
        <v>19</v>
      </c>
      <c r="AK73" s="25" t="s">
        <v>21</v>
      </c>
      <c r="AQ73" s="24">
        <v>2</v>
      </c>
      <c r="AS73" s="24">
        <v>255</v>
      </c>
      <c r="AT73" s="24">
        <v>128</v>
      </c>
      <c r="AU73" s="24">
        <v>0</v>
      </c>
    </row>
    <row r="74" spans="1:47" s="24" customFormat="1" x14ac:dyDescent="0.2">
      <c r="A74" s="21">
        <v>119</v>
      </c>
      <c r="B74" s="21"/>
      <c r="C74" s="22">
        <v>62</v>
      </c>
      <c r="D74" s="22">
        <v>-33</v>
      </c>
      <c r="E74" s="22">
        <v>-6</v>
      </c>
      <c r="F74" s="22"/>
      <c r="G74" s="23">
        <v>64.8</v>
      </c>
      <c r="H74" s="23">
        <v>-30.55</v>
      </c>
      <c r="I74" s="23">
        <v>-8.6999999999999993</v>
      </c>
      <c r="J74" s="22"/>
      <c r="L74" s="24">
        <v>2</v>
      </c>
      <c r="M74" s="24">
        <v>2</v>
      </c>
      <c r="N74" s="24">
        <v>2</v>
      </c>
      <c r="O74" s="24">
        <v>2</v>
      </c>
      <c r="P74" s="24">
        <v>2</v>
      </c>
      <c r="Q74" s="24">
        <v>2</v>
      </c>
      <c r="R74" s="24">
        <v>2</v>
      </c>
      <c r="S74" s="24">
        <v>2</v>
      </c>
      <c r="T74" s="24">
        <v>2</v>
      </c>
      <c r="V74" s="24">
        <v>2</v>
      </c>
      <c r="W74" s="24">
        <v>2</v>
      </c>
      <c r="X74" s="24">
        <v>2</v>
      </c>
      <c r="Y74" s="24">
        <v>2</v>
      </c>
      <c r="Z74" s="24">
        <v>2</v>
      </c>
      <c r="AA74" s="24">
        <v>2</v>
      </c>
      <c r="AB74" s="24">
        <v>2</v>
      </c>
      <c r="AC74" s="24">
        <v>2</v>
      </c>
      <c r="AD74" s="24">
        <v>2</v>
      </c>
      <c r="AF74" s="21">
        <v>5</v>
      </c>
      <c r="AI74" s="22" t="s">
        <v>19</v>
      </c>
      <c r="AK74" s="25" t="s">
        <v>21</v>
      </c>
      <c r="AQ74" s="24">
        <v>3</v>
      </c>
      <c r="AS74" s="24">
        <v>128</v>
      </c>
      <c r="AT74" s="24">
        <v>0</v>
      </c>
      <c r="AU74" s="24">
        <v>128</v>
      </c>
    </row>
    <row r="75" spans="1:47" s="24" customFormat="1" x14ac:dyDescent="0.2">
      <c r="A75" s="21">
        <v>120</v>
      </c>
      <c r="B75" s="21"/>
      <c r="C75" s="22">
        <v>-65</v>
      </c>
      <c r="D75" s="22">
        <v>-42</v>
      </c>
      <c r="E75" s="22">
        <v>-6</v>
      </c>
      <c r="F75" s="22"/>
      <c r="G75" s="23">
        <v>-68.3</v>
      </c>
      <c r="H75" s="23">
        <v>-41.41</v>
      </c>
      <c r="I75" s="23">
        <v>-5.14</v>
      </c>
      <c r="J75" s="22"/>
      <c r="L75" s="24">
        <v>2</v>
      </c>
      <c r="M75" s="24">
        <v>2</v>
      </c>
      <c r="N75" s="24">
        <v>2</v>
      </c>
      <c r="O75" s="24">
        <v>2</v>
      </c>
      <c r="P75" s="24">
        <v>2</v>
      </c>
      <c r="Q75" s="24">
        <v>2</v>
      </c>
      <c r="R75" s="24">
        <v>2</v>
      </c>
      <c r="S75" s="24">
        <v>2</v>
      </c>
      <c r="T75" s="24">
        <v>2</v>
      </c>
      <c r="V75" s="24">
        <v>2</v>
      </c>
      <c r="W75" s="24">
        <v>2</v>
      </c>
      <c r="X75" s="24">
        <v>2</v>
      </c>
      <c r="Y75" s="24">
        <v>2</v>
      </c>
      <c r="Z75" s="24">
        <v>2</v>
      </c>
      <c r="AA75" s="24">
        <v>2</v>
      </c>
      <c r="AB75" s="24">
        <v>2</v>
      </c>
      <c r="AC75" s="24">
        <v>2</v>
      </c>
      <c r="AD75" s="24">
        <v>2</v>
      </c>
      <c r="AF75" s="21">
        <v>5</v>
      </c>
      <c r="AI75" s="22" t="s">
        <v>19</v>
      </c>
      <c r="AK75" s="25" t="s">
        <v>21</v>
      </c>
      <c r="AQ75" s="24">
        <v>4</v>
      </c>
      <c r="AS75" s="24">
        <v>255</v>
      </c>
      <c r="AT75" s="24">
        <v>0</v>
      </c>
      <c r="AU75" s="24">
        <v>255</v>
      </c>
    </row>
    <row r="76" spans="1:47" s="24" customFormat="1" x14ac:dyDescent="0.2">
      <c r="A76" s="21">
        <v>121</v>
      </c>
      <c r="B76" s="21"/>
      <c r="C76" s="22">
        <v>11</v>
      </c>
      <c r="D76" s="22">
        <v>24</v>
      </c>
      <c r="E76" s="22">
        <v>60</v>
      </c>
      <c r="F76" s="22"/>
      <c r="G76" s="23">
        <v>13.08</v>
      </c>
      <c r="H76" s="23">
        <v>29.99</v>
      </c>
      <c r="I76" s="23">
        <v>58.65</v>
      </c>
      <c r="J76" s="22"/>
      <c r="L76" s="24">
        <v>2</v>
      </c>
      <c r="M76" s="24">
        <v>2</v>
      </c>
      <c r="N76" s="24">
        <v>2</v>
      </c>
      <c r="O76" s="24">
        <v>2</v>
      </c>
      <c r="P76" s="24">
        <v>2</v>
      </c>
      <c r="Q76" s="24">
        <v>2</v>
      </c>
      <c r="R76" s="24">
        <v>2</v>
      </c>
      <c r="S76" s="24">
        <v>2</v>
      </c>
      <c r="T76" s="24">
        <v>2</v>
      </c>
      <c r="V76" s="24">
        <v>2</v>
      </c>
      <c r="W76" s="24">
        <v>2</v>
      </c>
      <c r="X76" s="24">
        <v>2</v>
      </c>
      <c r="Y76" s="24">
        <v>2</v>
      </c>
      <c r="Z76" s="24">
        <v>2</v>
      </c>
      <c r="AA76" s="24">
        <v>2</v>
      </c>
      <c r="AB76" s="24">
        <v>2</v>
      </c>
      <c r="AC76" s="24">
        <v>2</v>
      </c>
      <c r="AD76" s="24">
        <v>2</v>
      </c>
      <c r="AF76" s="21">
        <v>5</v>
      </c>
      <c r="AI76" s="22" t="s">
        <v>19</v>
      </c>
      <c r="AK76" s="25" t="s">
        <v>21</v>
      </c>
      <c r="AQ76" s="24">
        <v>5</v>
      </c>
      <c r="AS76" s="24">
        <v>255</v>
      </c>
      <c r="AT76" s="24">
        <v>0</v>
      </c>
      <c r="AU76" s="24">
        <v>0</v>
      </c>
    </row>
    <row r="77" spans="1:47" s="24" customFormat="1" x14ac:dyDescent="0.2">
      <c r="A77" s="21">
        <v>122</v>
      </c>
      <c r="B77" s="21"/>
      <c r="C77" s="22">
        <v>11</v>
      </c>
      <c r="D77" s="22">
        <v>30</v>
      </c>
      <c r="E77" s="22">
        <v>24</v>
      </c>
      <c r="F77" s="22"/>
      <c r="G77" s="23">
        <v>12.25</v>
      </c>
      <c r="H77" s="23">
        <v>35.630000000000003</v>
      </c>
      <c r="I77" s="23">
        <v>20.3</v>
      </c>
      <c r="J77" s="22"/>
      <c r="L77" s="24">
        <v>2</v>
      </c>
      <c r="M77" s="24">
        <v>2</v>
      </c>
      <c r="N77" s="24">
        <v>2</v>
      </c>
      <c r="O77" s="24">
        <v>2</v>
      </c>
      <c r="P77" s="24">
        <v>2</v>
      </c>
      <c r="Q77" s="24">
        <v>2</v>
      </c>
      <c r="R77" s="24">
        <v>2</v>
      </c>
      <c r="S77" s="24">
        <v>2</v>
      </c>
      <c r="T77" s="24">
        <v>2</v>
      </c>
      <c r="V77" s="24">
        <v>2</v>
      </c>
      <c r="W77" s="24">
        <v>2</v>
      </c>
      <c r="X77" s="24">
        <v>2</v>
      </c>
      <c r="Y77" s="24">
        <v>2</v>
      </c>
      <c r="Z77" s="24">
        <v>2</v>
      </c>
      <c r="AA77" s="24">
        <v>2</v>
      </c>
      <c r="AB77" s="24">
        <v>2</v>
      </c>
      <c r="AC77" s="24">
        <v>2</v>
      </c>
      <c r="AD77" s="24">
        <v>2</v>
      </c>
      <c r="AF77" s="21">
        <v>5</v>
      </c>
      <c r="AI77" s="22" t="s">
        <v>19</v>
      </c>
      <c r="AK77" s="25" t="s">
        <v>21</v>
      </c>
      <c r="AQ77" s="24">
        <v>6</v>
      </c>
      <c r="AS77" s="24">
        <v>128</v>
      </c>
      <c r="AT77" s="24">
        <v>128</v>
      </c>
      <c r="AU77" s="24">
        <v>128</v>
      </c>
    </row>
    <row r="78" spans="1:47" s="24" customFormat="1" x14ac:dyDescent="0.2">
      <c r="A78" s="21">
        <v>123</v>
      </c>
      <c r="B78" s="21"/>
      <c r="C78" s="22">
        <v>50</v>
      </c>
      <c r="D78" s="22">
        <v>-6</v>
      </c>
      <c r="E78" s="22">
        <v>-12</v>
      </c>
      <c r="F78" s="22"/>
      <c r="G78" s="23">
        <v>52.16</v>
      </c>
      <c r="H78" s="23">
        <v>-2.4300000000000002</v>
      </c>
      <c r="I78" s="23">
        <v>-16.399999999999999</v>
      </c>
      <c r="J78" s="22"/>
      <c r="L78" s="24">
        <v>2</v>
      </c>
      <c r="M78" s="24">
        <v>2</v>
      </c>
      <c r="N78" s="24">
        <v>2</v>
      </c>
      <c r="O78" s="24">
        <v>2</v>
      </c>
      <c r="P78" s="24">
        <v>2</v>
      </c>
      <c r="Q78" s="24">
        <v>2</v>
      </c>
      <c r="R78" s="24">
        <v>2</v>
      </c>
      <c r="S78" s="24">
        <v>2</v>
      </c>
      <c r="T78" s="24">
        <v>2</v>
      </c>
      <c r="V78" s="24">
        <v>2</v>
      </c>
      <c r="W78" s="24">
        <v>2</v>
      </c>
      <c r="X78" s="24">
        <v>2</v>
      </c>
      <c r="Y78" s="24">
        <v>2</v>
      </c>
      <c r="Z78" s="24">
        <v>2</v>
      </c>
      <c r="AA78" s="24">
        <v>2</v>
      </c>
      <c r="AB78" s="24">
        <v>2</v>
      </c>
      <c r="AC78" s="24">
        <v>2</v>
      </c>
      <c r="AD78" s="24">
        <v>-1</v>
      </c>
      <c r="AF78" s="21">
        <v>5</v>
      </c>
      <c r="AI78" s="22" t="s">
        <v>19</v>
      </c>
      <c r="AK78" s="25" t="s">
        <v>21</v>
      </c>
      <c r="AQ78" s="24">
        <v>7</v>
      </c>
      <c r="AS78" s="24">
        <v>0</v>
      </c>
      <c r="AT78" s="24">
        <v>0</v>
      </c>
      <c r="AU78" s="24">
        <v>255</v>
      </c>
    </row>
    <row r="79" spans="1:47" s="24" customFormat="1" x14ac:dyDescent="0.2">
      <c r="A79" s="21">
        <v>124</v>
      </c>
      <c r="B79" s="21"/>
      <c r="C79" s="22">
        <v>-25</v>
      </c>
      <c r="D79" s="22">
        <v>-41</v>
      </c>
      <c r="E79" s="22">
        <v>-8</v>
      </c>
      <c r="F79" s="22"/>
      <c r="G79" s="23">
        <v>-26.44</v>
      </c>
      <c r="H79" s="23">
        <v>-39.950000000000003</v>
      </c>
      <c r="I79" s="23">
        <v>-8.26</v>
      </c>
      <c r="J79" s="22"/>
      <c r="L79" s="24">
        <v>2</v>
      </c>
      <c r="M79" s="24">
        <v>2</v>
      </c>
      <c r="N79" s="24">
        <v>2</v>
      </c>
      <c r="O79" s="24">
        <v>2</v>
      </c>
      <c r="P79" s="24">
        <v>2</v>
      </c>
      <c r="Q79" s="24">
        <v>2</v>
      </c>
      <c r="R79" s="24">
        <v>2</v>
      </c>
      <c r="S79" s="24">
        <v>2</v>
      </c>
      <c r="T79" s="24">
        <v>2</v>
      </c>
      <c r="V79" s="24">
        <v>2</v>
      </c>
      <c r="W79" s="24">
        <v>2</v>
      </c>
      <c r="X79" s="24">
        <v>2</v>
      </c>
      <c r="Y79" s="24">
        <v>2</v>
      </c>
      <c r="Z79" s="24">
        <v>2</v>
      </c>
      <c r="AA79" s="24">
        <v>2</v>
      </c>
      <c r="AB79" s="24">
        <v>2</v>
      </c>
      <c r="AC79" s="24">
        <v>2</v>
      </c>
      <c r="AD79" s="24">
        <v>2</v>
      </c>
      <c r="AF79" s="21">
        <v>5</v>
      </c>
      <c r="AI79" s="22" t="s">
        <v>19</v>
      </c>
      <c r="AK79" s="25" t="s">
        <v>21</v>
      </c>
      <c r="AQ79" s="24">
        <v>8</v>
      </c>
      <c r="AS79" s="24">
        <v>255</v>
      </c>
      <c r="AT79" s="24">
        <v>255</v>
      </c>
      <c r="AU79" s="24">
        <v>0</v>
      </c>
    </row>
    <row r="80" spans="1:47" s="24" customFormat="1" x14ac:dyDescent="0.2">
      <c r="A80" s="21">
        <v>125</v>
      </c>
      <c r="B80" s="21"/>
      <c r="C80" s="22">
        <v>26</v>
      </c>
      <c r="D80" s="22">
        <v>-39</v>
      </c>
      <c r="E80" s="22">
        <v>-11</v>
      </c>
      <c r="F80" s="22"/>
      <c r="G80" s="23">
        <v>26.94</v>
      </c>
      <c r="H80" s="23">
        <v>-37.340000000000003</v>
      </c>
      <c r="I80" s="23">
        <v>-12.76</v>
      </c>
      <c r="J80" s="22"/>
      <c r="L80" s="24">
        <v>2</v>
      </c>
      <c r="M80" s="24">
        <v>2</v>
      </c>
      <c r="N80" s="24">
        <v>2</v>
      </c>
      <c r="O80" s="24">
        <v>2</v>
      </c>
      <c r="P80" s="24">
        <v>2</v>
      </c>
      <c r="Q80" s="24">
        <v>2</v>
      </c>
      <c r="R80" s="24">
        <v>2</v>
      </c>
      <c r="S80" s="24">
        <v>2</v>
      </c>
      <c r="T80" s="24">
        <v>2</v>
      </c>
      <c r="V80" s="24">
        <v>2</v>
      </c>
      <c r="W80" s="24">
        <v>2</v>
      </c>
      <c r="X80" s="24">
        <v>2</v>
      </c>
      <c r="Y80" s="24">
        <v>2</v>
      </c>
      <c r="Z80" s="24">
        <v>2</v>
      </c>
      <c r="AA80" s="24">
        <v>2</v>
      </c>
      <c r="AB80" s="24">
        <v>2</v>
      </c>
      <c r="AC80" s="24">
        <v>2</v>
      </c>
      <c r="AD80" s="24">
        <v>2</v>
      </c>
      <c r="AF80" s="21">
        <v>5</v>
      </c>
      <c r="AI80" s="22" t="s">
        <v>19</v>
      </c>
      <c r="AK80" s="25" t="s">
        <v>21</v>
      </c>
      <c r="AQ80" s="24">
        <v>9</v>
      </c>
      <c r="AS80" s="24">
        <v>0</v>
      </c>
      <c r="AT80" s="24">
        <v>0</v>
      </c>
      <c r="AU80" s="24">
        <v>0</v>
      </c>
    </row>
    <row r="81" spans="1:47" s="24" customFormat="1" x14ac:dyDescent="0.2">
      <c r="A81" s="21">
        <v>126</v>
      </c>
      <c r="B81" s="21"/>
      <c r="C81" s="22">
        <v>-32</v>
      </c>
      <c r="D81" s="22">
        <v>-39</v>
      </c>
      <c r="E81" s="22">
        <v>-15</v>
      </c>
      <c r="F81" s="22"/>
      <c r="G81" s="23">
        <v>-33.93</v>
      </c>
      <c r="H81" s="23">
        <v>-38.06</v>
      </c>
      <c r="I81" s="23">
        <v>-15.6</v>
      </c>
      <c r="J81" s="22"/>
      <c r="L81" s="24">
        <v>2</v>
      </c>
      <c r="M81" s="24">
        <v>2</v>
      </c>
      <c r="N81" s="24">
        <v>2</v>
      </c>
      <c r="O81" s="24">
        <v>2</v>
      </c>
      <c r="P81" s="24">
        <v>2</v>
      </c>
      <c r="Q81" s="24">
        <v>2</v>
      </c>
      <c r="R81" s="24">
        <v>2</v>
      </c>
      <c r="S81" s="24">
        <v>2</v>
      </c>
      <c r="T81" s="24">
        <v>2</v>
      </c>
      <c r="V81" s="24">
        <v>2</v>
      </c>
      <c r="W81" s="24">
        <v>2</v>
      </c>
      <c r="X81" s="24">
        <v>2</v>
      </c>
      <c r="Y81" s="24">
        <v>2</v>
      </c>
      <c r="Z81" s="24">
        <v>2</v>
      </c>
      <c r="AA81" s="24">
        <v>2</v>
      </c>
      <c r="AB81" s="24">
        <v>2</v>
      </c>
      <c r="AC81" s="24">
        <v>2</v>
      </c>
      <c r="AD81" s="24">
        <v>2</v>
      </c>
      <c r="AF81" s="21">
        <v>5</v>
      </c>
      <c r="AI81" s="22" t="s">
        <v>19</v>
      </c>
      <c r="AK81" s="25" t="s">
        <v>21</v>
      </c>
      <c r="AQ81" s="24">
        <v>10</v>
      </c>
      <c r="AS81" s="24">
        <v>180</v>
      </c>
      <c r="AT81" s="24">
        <v>60</v>
      </c>
      <c r="AU81" s="24">
        <v>0</v>
      </c>
    </row>
    <row r="82" spans="1:47" s="24" customFormat="1" x14ac:dyDescent="0.2">
      <c r="A82" s="21">
        <v>127</v>
      </c>
      <c r="B82" s="21"/>
      <c r="C82" s="22">
        <v>28</v>
      </c>
      <c r="D82" s="22">
        <v>-76</v>
      </c>
      <c r="E82" s="22">
        <v>-31</v>
      </c>
      <c r="F82" s="22"/>
      <c r="G82" s="23">
        <v>28.46</v>
      </c>
      <c r="H82" s="23">
        <v>-76.56</v>
      </c>
      <c r="I82" s="23">
        <v>-31.64</v>
      </c>
      <c r="J82" s="22"/>
      <c r="L82" s="24">
        <v>2</v>
      </c>
      <c r="M82" s="24">
        <v>2</v>
      </c>
      <c r="N82" s="24">
        <v>2</v>
      </c>
      <c r="O82" s="24">
        <v>2</v>
      </c>
      <c r="P82" s="24">
        <v>2</v>
      </c>
      <c r="Q82" s="24">
        <v>2</v>
      </c>
      <c r="R82" s="24">
        <v>2</v>
      </c>
      <c r="S82" s="24">
        <v>2</v>
      </c>
      <c r="T82" s="24">
        <v>2</v>
      </c>
      <c r="V82" s="24">
        <v>2</v>
      </c>
      <c r="W82" s="24">
        <v>2</v>
      </c>
      <c r="X82" s="24">
        <v>2</v>
      </c>
      <c r="Y82" s="24">
        <v>2</v>
      </c>
      <c r="Z82" s="24">
        <v>2</v>
      </c>
      <c r="AA82" s="24">
        <v>2</v>
      </c>
      <c r="AB82" s="24">
        <v>2</v>
      </c>
      <c r="AC82" s="24">
        <v>2</v>
      </c>
      <c r="AD82" s="24">
        <v>2</v>
      </c>
      <c r="AF82" s="21">
        <v>5</v>
      </c>
      <c r="AI82" s="22" t="s">
        <v>19</v>
      </c>
      <c r="AK82" s="25" t="s">
        <v>21</v>
      </c>
      <c r="AQ82" s="24">
        <v>11</v>
      </c>
      <c r="AS82" s="24">
        <v>0</v>
      </c>
      <c r="AT82" s="24">
        <v>128</v>
      </c>
      <c r="AU82" s="24">
        <v>128</v>
      </c>
    </row>
    <row r="83" spans="1:47" s="24" customFormat="1" x14ac:dyDescent="0.2">
      <c r="A83" s="21">
        <v>128</v>
      </c>
      <c r="B83" s="21"/>
      <c r="C83" s="22">
        <v>50</v>
      </c>
      <c r="D83" s="22">
        <v>3</v>
      </c>
      <c r="E83" s="22">
        <v>-24</v>
      </c>
      <c r="F83" s="22"/>
      <c r="G83" s="23">
        <v>51.9</v>
      </c>
      <c r="H83" s="23">
        <v>6.81</v>
      </c>
      <c r="I83" s="23">
        <v>-29.61</v>
      </c>
      <c r="J83" s="22"/>
      <c r="L83" s="24">
        <v>2</v>
      </c>
      <c r="M83" s="24">
        <v>2</v>
      </c>
      <c r="N83" s="24">
        <v>2</v>
      </c>
      <c r="O83" s="24">
        <v>2</v>
      </c>
      <c r="P83" s="24">
        <v>2</v>
      </c>
      <c r="Q83" s="24">
        <v>2</v>
      </c>
      <c r="R83" s="24">
        <v>2</v>
      </c>
      <c r="S83" s="24">
        <v>-1</v>
      </c>
      <c r="T83" s="24">
        <v>2</v>
      </c>
      <c r="V83" s="24">
        <v>2</v>
      </c>
      <c r="W83" s="24">
        <v>2</v>
      </c>
      <c r="X83" s="24">
        <v>2</v>
      </c>
      <c r="Y83" s="24">
        <v>2</v>
      </c>
      <c r="Z83" s="24">
        <v>2</v>
      </c>
      <c r="AA83" s="24">
        <v>2</v>
      </c>
      <c r="AB83" s="24">
        <v>2</v>
      </c>
      <c r="AC83" s="24">
        <v>2</v>
      </c>
      <c r="AD83" s="24">
        <v>-1</v>
      </c>
      <c r="AF83" s="21">
        <v>5</v>
      </c>
      <c r="AI83" s="22" t="s">
        <v>19</v>
      </c>
      <c r="AK83" s="25" t="s">
        <v>21</v>
      </c>
      <c r="AQ83" s="24">
        <v>12</v>
      </c>
      <c r="AS83" s="24">
        <v>0</v>
      </c>
      <c r="AT83" s="24">
        <v>255</v>
      </c>
      <c r="AU83" s="24">
        <v>0</v>
      </c>
    </row>
    <row r="84" spans="1:47" s="24" customFormat="1" x14ac:dyDescent="0.2">
      <c r="A84" s="21">
        <v>129</v>
      </c>
      <c r="B84" s="21"/>
      <c r="C84" s="22">
        <v>-50</v>
      </c>
      <c r="D84" s="22">
        <v>0</v>
      </c>
      <c r="E84" s="22">
        <v>-24</v>
      </c>
      <c r="F84" s="22"/>
      <c r="G84" s="23">
        <v>-52.89</v>
      </c>
      <c r="H84" s="23">
        <v>2.5499999999999998</v>
      </c>
      <c r="I84" s="23">
        <v>-27.06</v>
      </c>
      <c r="J84" s="22"/>
      <c r="L84" s="24">
        <v>2</v>
      </c>
      <c r="M84" s="24">
        <v>2</v>
      </c>
      <c r="N84" s="24">
        <v>2</v>
      </c>
      <c r="O84" s="24">
        <v>2</v>
      </c>
      <c r="P84" s="24">
        <v>2</v>
      </c>
      <c r="Q84" s="24">
        <v>2</v>
      </c>
      <c r="R84" s="24">
        <v>2</v>
      </c>
      <c r="S84" s="24">
        <v>2</v>
      </c>
      <c r="T84" s="24">
        <v>2</v>
      </c>
      <c r="V84" s="24">
        <v>2</v>
      </c>
      <c r="W84" s="24">
        <v>2</v>
      </c>
      <c r="X84" s="24">
        <v>2</v>
      </c>
      <c r="Y84" s="24">
        <v>2</v>
      </c>
      <c r="Z84" s="24">
        <v>2</v>
      </c>
      <c r="AA84" s="24">
        <v>2</v>
      </c>
      <c r="AB84" s="24">
        <v>2</v>
      </c>
      <c r="AC84" s="24">
        <v>2</v>
      </c>
      <c r="AD84" s="24">
        <v>-1</v>
      </c>
      <c r="AF84" s="21">
        <v>5</v>
      </c>
      <c r="AI84" s="22" t="s">
        <v>19</v>
      </c>
      <c r="AK84" s="25" t="s">
        <v>21</v>
      </c>
      <c r="AQ84" s="24">
        <v>13</v>
      </c>
    </row>
    <row r="85" spans="1:47" s="24" customFormat="1" x14ac:dyDescent="0.2">
      <c r="A85" s="21">
        <v>130</v>
      </c>
      <c r="B85" s="21"/>
      <c r="C85" s="22">
        <v>44</v>
      </c>
      <c r="D85" s="22">
        <v>-52</v>
      </c>
      <c r="E85" s="22">
        <v>28</v>
      </c>
      <c r="F85" s="22"/>
      <c r="G85" s="23">
        <v>46.68</v>
      </c>
      <c r="H85" s="23">
        <v>-50.08</v>
      </c>
      <c r="I85" s="23">
        <v>28.76</v>
      </c>
      <c r="J85" s="22"/>
      <c r="L85" s="24">
        <v>2</v>
      </c>
      <c r="M85" s="24">
        <v>2</v>
      </c>
      <c r="N85" s="24">
        <v>2</v>
      </c>
      <c r="O85" s="24">
        <v>2</v>
      </c>
      <c r="P85" s="24">
        <v>2</v>
      </c>
      <c r="Q85" s="24">
        <v>2</v>
      </c>
      <c r="R85" s="24">
        <v>2</v>
      </c>
      <c r="S85" s="24">
        <v>2</v>
      </c>
      <c r="T85" s="24">
        <v>2</v>
      </c>
      <c r="V85" s="24">
        <v>2</v>
      </c>
      <c r="W85" s="24">
        <v>2</v>
      </c>
      <c r="X85" s="24">
        <v>2</v>
      </c>
      <c r="Y85" s="24">
        <v>2</v>
      </c>
      <c r="Z85" s="24">
        <v>2</v>
      </c>
      <c r="AA85" s="24">
        <v>2</v>
      </c>
      <c r="AB85" s="24">
        <v>2</v>
      </c>
      <c r="AC85" s="24">
        <v>-1</v>
      </c>
      <c r="AD85" s="24">
        <v>-1</v>
      </c>
      <c r="AF85" s="21">
        <v>5</v>
      </c>
      <c r="AI85" s="22" t="s">
        <v>19</v>
      </c>
      <c r="AK85" s="25" t="s">
        <v>21</v>
      </c>
    </row>
    <row r="86" spans="1:47" s="24" customFormat="1" x14ac:dyDescent="0.2">
      <c r="A86" s="21">
        <v>131</v>
      </c>
      <c r="B86" s="21"/>
      <c r="C86" s="22">
        <v>-47</v>
      </c>
      <c r="D86" s="22">
        <v>-43</v>
      </c>
      <c r="E86" s="22">
        <v>0</v>
      </c>
      <c r="F86" s="22"/>
      <c r="G86" s="23">
        <v>-49.3</v>
      </c>
      <c r="H86" s="23">
        <v>-42.15</v>
      </c>
      <c r="I86" s="23">
        <v>0.83</v>
      </c>
      <c r="J86" s="22"/>
      <c r="L86" s="24">
        <v>2</v>
      </c>
      <c r="M86" s="24">
        <v>2</v>
      </c>
      <c r="N86" s="24">
        <v>2</v>
      </c>
      <c r="O86" s="24">
        <v>2</v>
      </c>
      <c r="P86" s="24">
        <v>2</v>
      </c>
      <c r="Q86" s="24">
        <v>2</v>
      </c>
      <c r="R86" s="24">
        <v>2</v>
      </c>
      <c r="S86" s="24">
        <v>2</v>
      </c>
      <c r="T86" s="24">
        <v>2</v>
      </c>
      <c r="V86" s="24">
        <v>2</v>
      </c>
      <c r="W86" s="24">
        <v>2</v>
      </c>
      <c r="X86" s="24">
        <v>2</v>
      </c>
      <c r="Y86" s="24">
        <v>2</v>
      </c>
      <c r="Z86" s="24">
        <v>2</v>
      </c>
      <c r="AA86" s="24">
        <v>2</v>
      </c>
      <c r="AB86" s="24">
        <v>2</v>
      </c>
      <c r="AC86" s="24">
        <v>2</v>
      </c>
      <c r="AD86" s="24">
        <v>-1</v>
      </c>
      <c r="AF86" s="21">
        <v>5</v>
      </c>
      <c r="AI86" s="22" t="s">
        <v>19</v>
      </c>
      <c r="AK86" s="25" t="s">
        <v>21</v>
      </c>
    </row>
    <row r="87" spans="1:47" x14ac:dyDescent="0.2">
      <c r="A87" s="3">
        <v>132</v>
      </c>
      <c r="C87" s="2">
        <v>-29</v>
      </c>
      <c r="D87" s="2">
        <v>15</v>
      </c>
      <c r="E87" s="2">
        <v>-15</v>
      </c>
      <c r="G87" s="16">
        <v>-30.63</v>
      </c>
      <c r="H87" s="16">
        <v>18.71</v>
      </c>
      <c r="I87" s="16">
        <v>-18.98</v>
      </c>
      <c r="L87">
        <v>2</v>
      </c>
      <c r="M87">
        <v>2</v>
      </c>
      <c r="N87">
        <v>-1</v>
      </c>
      <c r="O87">
        <v>-1</v>
      </c>
      <c r="P87">
        <v>-1</v>
      </c>
      <c r="Q87">
        <v>-1</v>
      </c>
      <c r="R87">
        <v>-1</v>
      </c>
      <c r="S87">
        <v>-1</v>
      </c>
      <c r="T87">
        <v>-1</v>
      </c>
      <c r="V87">
        <v>2</v>
      </c>
      <c r="W87">
        <v>2</v>
      </c>
      <c r="X87">
        <v>2</v>
      </c>
      <c r="Y87">
        <v>-1</v>
      </c>
      <c r="Z87">
        <v>-1</v>
      </c>
      <c r="AA87">
        <v>-1</v>
      </c>
      <c r="AB87">
        <v>-1</v>
      </c>
      <c r="AC87">
        <v>-1</v>
      </c>
      <c r="AD87">
        <v>-1</v>
      </c>
      <c r="AF87" s="3">
        <v>-1</v>
      </c>
      <c r="AI87" s="2" t="s">
        <v>15</v>
      </c>
      <c r="AK87" s="1" t="s">
        <v>16</v>
      </c>
    </row>
    <row r="88" spans="1:47" x14ac:dyDescent="0.2">
      <c r="A88" s="3">
        <v>133</v>
      </c>
      <c r="C88" s="2">
        <v>-3</v>
      </c>
      <c r="D88" s="2">
        <v>-37</v>
      </c>
      <c r="E88" s="2">
        <v>30</v>
      </c>
      <c r="G88" s="16">
        <v>-2.4700000000000002</v>
      </c>
      <c r="H88" s="16">
        <v>-34.799999999999997</v>
      </c>
      <c r="I88" s="16">
        <v>31.07</v>
      </c>
      <c r="L88">
        <v>2</v>
      </c>
      <c r="M88">
        <v>2</v>
      </c>
      <c r="N88">
        <v>2</v>
      </c>
      <c r="O88">
        <v>4</v>
      </c>
      <c r="P88">
        <v>24</v>
      </c>
      <c r="Q88">
        <v>24</v>
      </c>
      <c r="R88">
        <v>24</v>
      </c>
      <c r="S88">
        <v>24</v>
      </c>
      <c r="T88">
        <v>24</v>
      </c>
      <c r="V88">
        <v>2</v>
      </c>
      <c r="W88">
        <v>2</v>
      </c>
      <c r="X88">
        <v>2</v>
      </c>
      <c r="Y88">
        <v>2</v>
      </c>
      <c r="Z88">
        <v>2</v>
      </c>
      <c r="AA88">
        <v>2</v>
      </c>
      <c r="AB88">
        <v>2</v>
      </c>
      <c r="AC88">
        <v>39</v>
      </c>
      <c r="AD88">
        <v>39</v>
      </c>
      <c r="AF88" s="3">
        <v>6</v>
      </c>
      <c r="AH88" s="8"/>
      <c r="AI88" s="2" t="s">
        <v>22</v>
      </c>
      <c r="AK88" s="1" t="s">
        <v>23</v>
      </c>
    </row>
    <row r="89" spans="1:47" x14ac:dyDescent="0.2">
      <c r="A89" s="3">
        <v>134</v>
      </c>
      <c r="C89" s="2">
        <v>-7</v>
      </c>
      <c r="D89" s="2">
        <v>-72</v>
      </c>
      <c r="E89" s="2">
        <v>38</v>
      </c>
      <c r="G89" s="16">
        <v>-6.58</v>
      </c>
      <c r="H89" s="16">
        <v>-71.47</v>
      </c>
      <c r="I89" s="16">
        <v>41.74</v>
      </c>
      <c r="L89">
        <v>2</v>
      </c>
      <c r="M89">
        <v>2</v>
      </c>
      <c r="N89">
        <v>2</v>
      </c>
      <c r="O89">
        <v>2</v>
      </c>
      <c r="P89">
        <v>24</v>
      </c>
      <c r="Q89">
        <v>24</v>
      </c>
      <c r="R89">
        <v>24</v>
      </c>
      <c r="S89">
        <v>24</v>
      </c>
      <c r="T89">
        <v>24</v>
      </c>
      <c r="V89">
        <v>2</v>
      </c>
      <c r="W89">
        <v>2</v>
      </c>
      <c r="X89">
        <v>2</v>
      </c>
      <c r="Y89">
        <v>2</v>
      </c>
      <c r="Z89">
        <v>2</v>
      </c>
      <c r="AA89">
        <v>2</v>
      </c>
      <c r="AB89">
        <v>2</v>
      </c>
      <c r="AC89">
        <v>39</v>
      </c>
      <c r="AD89">
        <v>39</v>
      </c>
      <c r="AF89" s="3">
        <v>6</v>
      </c>
      <c r="AH89" s="8"/>
      <c r="AI89" s="2" t="s">
        <v>22</v>
      </c>
      <c r="AK89" s="1" t="s">
        <v>23</v>
      </c>
    </row>
    <row r="90" spans="1:47" x14ac:dyDescent="0.2">
      <c r="A90" s="3">
        <v>135</v>
      </c>
      <c r="C90" s="2">
        <v>10</v>
      </c>
      <c r="D90" s="2">
        <v>-67</v>
      </c>
      <c r="E90" s="2">
        <v>39</v>
      </c>
      <c r="G90" s="16">
        <v>11.27</v>
      </c>
      <c r="H90" s="16">
        <v>-66.010000000000005</v>
      </c>
      <c r="I90" s="16">
        <v>42.09</v>
      </c>
      <c r="L90">
        <v>2</v>
      </c>
      <c r="M90">
        <v>2</v>
      </c>
      <c r="N90">
        <v>2</v>
      </c>
      <c r="O90">
        <v>4</v>
      </c>
      <c r="P90">
        <v>24</v>
      </c>
      <c r="Q90">
        <v>24</v>
      </c>
      <c r="R90">
        <v>24</v>
      </c>
      <c r="S90">
        <v>24</v>
      </c>
      <c r="T90">
        <v>24</v>
      </c>
      <c r="V90">
        <v>2</v>
      </c>
      <c r="W90">
        <v>2</v>
      </c>
      <c r="X90">
        <v>2</v>
      </c>
      <c r="Y90">
        <v>2</v>
      </c>
      <c r="Z90">
        <v>2</v>
      </c>
      <c r="AA90">
        <v>2</v>
      </c>
      <c r="AB90">
        <v>2</v>
      </c>
      <c r="AC90">
        <v>39</v>
      </c>
      <c r="AD90">
        <v>39</v>
      </c>
      <c r="AF90" s="3">
        <v>6</v>
      </c>
      <c r="AH90" s="8"/>
      <c r="AI90" s="2" t="s">
        <v>22</v>
      </c>
      <c r="AK90" s="1" t="s">
        <v>23</v>
      </c>
    </row>
    <row r="91" spans="1:47" x14ac:dyDescent="0.2">
      <c r="A91" s="3">
        <v>136</v>
      </c>
      <c r="C91" s="2">
        <v>3</v>
      </c>
      <c r="D91" s="2">
        <v>-50</v>
      </c>
      <c r="E91" s="2">
        <v>48</v>
      </c>
      <c r="G91" s="16">
        <v>4.2</v>
      </c>
      <c r="H91" s="16">
        <v>-48.06</v>
      </c>
      <c r="I91" s="16">
        <v>50.71</v>
      </c>
      <c r="L91">
        <v>2</v>
      </c>
      <c r="M91">
        <v>2</v>
      </c>
      <c r="N91">
        <v>2</v>
      </c>
      <c r="O91">
        <v>2</v>
      </c>
      <c r="P91">
        <v>24</v>
      </c>
      <c r="Q91">
        <v>24</v>
      </c>
      <c r="R91">
        <v>24</v>
      </c>
      <c r="S91">
        <v>24</v>
      </c>
      <c r="T91">
        <v>24</v>
      </c>
      <c r="V91">
        <v>2</v>
      </c>
      <c r="W91">
        <v>2</v>
      </c>
      <c r="X91">
        <v>2</v>
      </c>
      <c r="Y91">
        <v>2</v>
      </c>
      <c r="Z91">
        <v>2</v>
      </c>
      <c r="AA91">
        <v>2</v>
      </c>
      <c r="AB91">
        <v>2</v>
      </c>
      <c r="AC91">
        <v>39</v>
      </c>
      <c r="AD91">
        <v>2</v>
      </c>
      <c r="AF91" s="3">
        <v>6</v>
      </c>
      <c r="AH91" s="8"/>
      <c r="AI91" s="2" t="s">
        <v>22</v>
      </c>
      <c r="AK91" s="1" t="s">
        <v>23</v>
      </c>
    </row>
    <row r="92" spans="1:47" x14ac:dyDescent="0.2">
      <c r="A92" s="3">
        <v>137</v>
      </c>
      <c r="C92" s="2">
        <v>-44</v>
      </c>
      <c r="D92" s="2">
        <v>27</v>
      </c>
      <c r="E92" s="2">
        <v>-9</v>
      </c>
      <c r="G92" s="16">
        <v>-46.17</v>
      </c>
      <c r="H92" s="16">
        <v>31.26</v>
      </c>
      <c r="I92" s="16">
        <v>-13.03</v>
      </c>
      <c r="L92">
        <v>2</v>
      </c>
      <c r="M92">
        <v>2</v>
      </c>
      <c r="N92">
        <v>2</v>
      </c>
      <c r="O92">
        <v>2</v>
      </c>
      <c r="P92">
        <v>2</v>
      </c>
      <c r="Q92">
        <v>2</v>
      </c>
      <c r="R92">
        <v>2</v>
      </c>
      <c r="S92">
        <v>2</v>
      </c>
      <c r="T92">
        <v>50</v>
      </c>
      <c r="V92">
        <v>2</v>
      </c>
      <c r="W92">
        <v>2</v>
      </c>
      <c r="X92">
        <v>2</v>
      </c>
      <c r="Y92">
        <v>2</v>
      </c>
      <c r="Z92">
        <v>2</v>
      </c>
      <c r="AA92">
        <v>2</v>
      </c>
      <c r="AB92">
        <v>2</v>
      </c>
      <c r="AC92">
        <v>2</v>
      </c>
      <c r="AD92">
        <v>40</v>
      </c>
      <c r="AF92" s="3">
        <v>5</v>
      </c>
      <c r="AH92" s="7"/>
      <c r="AI92" s="2" t="s">
        <v>19</v>
      </c>
      <c r="AK92" s="1" t="s">
        <v>21</v>
      </c>
    </row>
    <row r="93" spans="1:47" x14ac:dyDescent="0.2">
      <c r="A93" s="3">
        <v>138</v>
      </c>
      <c r="C93" s="2">
        <v>-11</v>
      </c>
      <c r="D93" s="2">
        <v>6</v>
      </c>
      <c r="E93" s="2">
        <v>66</v>
      </c>
      <c r="G93" s="16">
        <v>-9.8800000000000008</v>
      </c>
      <c r="H93" s="16">
        <v>10.95</v>
      </c>
      <c r="I93" s="16">
        <v>66.61</v>
      </c>
      <c r="L93">
        <v>2</v>
      </c>
      <c r="M93">
        <v>2</v>
      </c>
      <c r="N93">
        <v>2</v>
      </c>
      <c r="O93">
        <v>2</v>
      </c>
      <c r="P93">
        <v>2</v>
      </c>
      <c r="Q93">
        <v>7</v>
      </c>
      <c r="R93">
        <v>7</v>
      </c>
      <c r="S93">
        <v>7</v>
      </c>
      <c r="T93">
        <v>50</v>
      </c>
      <c r="V93">
        <v>2</v>
      </c>
      <c r="W93">
        <v>2</v>
      </c>
      <c r="X93">
        <v>2</v>
      </c>
      <c r="Y93">
        <v>2</v>
      </c>
      <c r="Z93">
        <v>2</v>
      </c>
      <c r="AA93">
        <v>7</v>
      </c>
      <c r="AB93">
        <v>7</v>
      </c>
      <c r="AC93">
        <v>40</v>
      </c>
      <c r="AD93">
        <v>40</v>
      </c>
      <c r="AF93" s="3">
        <v>11</v>
      </c>
      <c r="AH93" s="9"/>
      <c r="AI93" s="2" t="s">
        <v>24</v>
      </c>
      <c r="AK93" s="1" t="s">
        <v>25</v>
      </c>
    </row>
    <row r="94" spans="1:47" x14ac:dyDescent="0.2">
      <c r="A94" s="3">
        <v>139</v>
      </c>
      <c r="C94" s="2">
        <v>47</v>
      </c>
      <c r="D94" s="2">
        <v>30</v>
      </c>
      <c r="E94" s="2">
        <v>-6</v>
      </c>
      <c r="G94" s="16">
        <v>49.26</v>
      </c>
      <c r="H94" s="16">
        <v>35.47</v>
      </c>
      <c r="I94" s="16">
        <v>-12.2</v>
      </c>
      <c r="L94">
        <v>2</v>
      </c>
      <c r="M94">
        <v>2</v>
      </c>
      <c r="N94">
        <v>2</v>
      </c>
      <c r="O94">
        <v>2</v>
      </c>
      <c r="P94">
        <v>2</v>
      </c>
      <c r="Q94">
        <v>2</v>
      </c>
      <c r="R94">
        <v>2</v>
      </c>
      <c r="S94">
        <v>2</v>
      </c>
      <c r="T94">
        <v>50</v>
      </c>
      <c r="V94">
        <v>2</v>
      </c>
      <c r="W94">
        <v>2</v>
      </c>
      <c r="X94">
        <v>2</v>
      </c>
      <c r="Y94">
        <v>2</v>
      </c>
      <c r="Z94">
        <v>2</v>
      </c>
      <c r="AA94">
        <v>2</v>
      </c>
      <c r="AB94">
        <v>2</v>
      </c>
      <c r="AC94">
        <v>40</v>
      </c>
      <c r="AD94">
        <v>40</v>
      </c>
      <c r="AF94" s="3">
        <v>5</v>
      </c>
      <c r="AH94" s="7"/>
      <c r="AI94" s="2" t="s">
        <v>19</v>
      </c>
      <c r="AK94" s="1" t="s">
        <v>21</v>
      </c>
    </row>
    <row r="95" spans="1:47" x14ac:dyDescent="0.2">
      <c r="A95" s="3">
        <v>140</v>
      </c>
      <c r="C95" s="2">
        <v>8</v>
      </c>
      <c r="D95" s="2">
        <v>-90</v>
      </c>
      <c r="E95" s="2">
        <v>-9</v>
      </c>
      <c r="G95" s="16">
        <v>7.98</v>
      </c>
      <c r="H95" s="16">
        <v>-91.08</v>
      </c>
      <c r="I95" s="16">
        <v>-7.1</v>
      </c>
      <c r="L95">
        <v>3</v>
      </c>
      <c r="M95">
        <v>3</v>
      </c>
      <c r="N95">
        <v>3</v>
      </c>
      <c r="O95">
        <v>-1</v>
      </c>
      <c r="P95">
        <v>-1</v>
      </c>
      <c r="Q95">
        <v>-1</v>
      </c>
      <c r="R95">
        <v>-1</v>
      </c>
      <c r="S95">
        <v>-1</v>
      </c>
      <c r="T95">
        <v>-1</v>
      </c>
      <c r="V95">
        <v>3</v>
      </c>
      <c r="W95">
        <v>3</v>
      </c>
      <c r="X95">
        <v>3</v>
      </c>
      <c r="Y95">
        <v>3</v>
      </c>
      <c r="Z95">
        <v>3</v>
      </c>
      <c r="AA95">
        <v>3</v>
      </c>
      <c r="AB95">
        <v>3</v>
      </c>
      <c r="AC95">
        <v>3</v>
      </c>
      <c r="AD95">
        <v>-1</v>
      </c>
      <c r="AF95" s="3">
        <v>-1</v>
      </c>
      <c r="AI95" s="2" t="s">
        <v>15</v>
      </c>
      <c r="AK95" s="1" t="s">
        <v>16</v>
      </c>
    </row>
    <row r="96" spans="1:47" x14ac:dyDescent="0.2">
      <c r="A96" s="3">
        <v>141</v>
      </c>
      <c r="C96" s="2">
        <v>17</v>
      </c>
      <c r="D96" s="2">
        <v>-90</v>
      </c>
      <c r="E96" s="2">
        <v>-15</v>
      </c>
      <c r="G96" s="16">
        <v>17.27</v>
      </c>
      <c r="H96" s="16">
        <v>-91.09</v>
      </c>
      <c r="I96" s="16">
        <v>-13.64</v>
      </c>
      <c r="L96">
        <v>3</v>
      </c>
      <c r="M96">
        <v>3</v>
      </c>
      <c r="N96">
        <v>3</v>
      </c>
      <c r="O96">
        <v>-1</v>
      </c>
      <c r="P96">
        <v>-1</v>
      </c>
      <c r="Q96">
        <v>-1</v>
      </c>
      <c r="R96">
        <v>-1</v>
      </c>
      <c r="S96">
        <v>-1</v>
      </c>
      <c r="T96">
        <v>-1</v>
      </c>
      <c r="V96">
        <v>3</v>
      </c>
      <c r="W96">
        <v>3</v>
      </c>
      <c r="X96">
        <v>3</v>
      </c>
      <c r="Y96">
        <v>3</v>
      </c>
      <c r="Z96">
        <v>3</v>
      </c>
      <c r="AA96">
        <v>-1</v>
      </c>
      <c r="AB96">
        <v>-1</v>
      </c>
      <c r="AC96">
        <v>-1</v>
      </c>
      <c r="AD96">
        <v>-1</v>
      </c>
      <c r="AF96" s="3">
        <v>-1</v>
      </c>
      <c r="AI96" s="2" t="s">
        <v>15</v>
      </c>
      <c r="AK96" s="1" t="s">
        <v>16</v>
      </c>
    </row>
    <row r="97" spans="1:37" x14ac:dyDescent="0.2">
      <c r="A97" s="3">
        <v>142</v>
      </c>
      <c r="C97" s="2">
        <v>-11</v>
      </c>
      <c r="D97" s="2">
        <v>-93</v>
      </c>
      <c r="E97" s="2">
        <v>-15</v>
      </c>
      <c r="G97" s="16">
        <v>-12.08</v>
      </c>
      <c r="H97" s="16">
        <v>-94.56</v>
      </c>
      <c r="I97" s="16">
        <v>-12.8</v>
      </c>
      <c r="L97">
        <v>3</v>
      </c>
      <c r="M97">
        <v>3</v>
      </c>
      <c r="N97">
        <v>3</v>
      </c>
      <c r="O97">
        <v>-1</v>
      </c>
      <c r="P97">
        <v>-1</v>
      </c>
      <c r="Q97">
        <v>-1</v>
      </c>
      <c r="R97">
        <v>-1</v>
      </c>
      <c r="S97">
        <v>-1</v>
      </c>
      <c r="T97">
        <v>-1</v>
      </c>
      <c r="V97">
        <v>3</v>
      </c>
      <c r="W97">
        <v>3</v>
      </c>
      <c r="X97">
        <v>3</v>
      </c>
      <c r="Y97">
        <v>3</v>
      </c>
      <c r="Z97">
        <v>3</v>
      </c>
      <c r="AA97">
        <v>-1</v>
      </c>
      <c r="AB97">
        <v>-1</v>
      </c>
      <c r="AC97">
        <v>-1</v>
      </c>
      <c r="AD97">
        <v>-1</v>
      </c>
      <c r="AF97" s="3">
        <v>-1</v>
      </c>
      <c r="AI97" s="2" t="s">
        <v>15</v>
      </c>
      <c r="AK97" s="1" t="s">
        <v>16</v>
      </c>
    </row>
    <row r="98" spans="1:37" s="24" customFormat="1" x14ac:dyDescent="0.2">
      <c r="A98" s="21">
        <v>174</v>
      </c>
      <c r="B98" s="21"/>
      <c r="C98" s="22">
        <v>-43</v>
      </c>
      <c r="D98" s="22">
        <v>-2</v>
      </c>
      <c r="E98" s="22">
        <v>45</v>
      </c>
      <c r="F98" s="22"/>
      <c r="G98" s="23">
        <v>-43.93</v>
      </c>
      <c r="H98" s="23">
        <v>1.8</v>
      </c>
      <c r="I98" s="23">
        <v>45.7</v>
      </c>
      <c r="J98" s="22"/>
      <c r="L98" s="24">
        <v>4</v>
      </c>
      <c r="M98" s="24">
        <v>4</v>
      </c>
      <c r="N98" s="24">
        <v>4</v>
      </c>
      <c r="O98" s="24">
        <v>4</v>
      </c>
      <c r="P98" s="24">
        <v>4</v>
      </c>
      <c r="Q98" s="24">
        <v>4</v>
      </c>
      <c r="R98" s="24">
        <v>7</v>
      </c>
      <c r="S98" s="24">
        <v>7</v>
      </c>
      <c r="T98" s="24">
        <v>-1</v>
      </c>
      <c r="V98" s="24">
        <v>4</v>
      </c>
      <c r="W98" s="24">
        <v>4</v>
      </c>
      <c r="X98" s="24">
        <v>4</v>
      </c>
      <c r="Y98" s="24">
        <v>4</v>
      </c>
      <c r="Z98" s="24">
        <v>4</v>
      </c>
      <c r="AA98" s="24">
        <v>4</v>
      </c>
      <c r="AB98" s="24">
        <v>4</v>
      </c>
      <c r="AC98" s="24">
        <v>4</v>
      </c>
      <c r="AD98" s="24">
        <v>-1</v>
      </c>
      <c r="AF98" s="21">
        <v>8</v>
      </c>
      <c r="AI98" s="22" t="s">
        <v>26</v>
      </c>
      <c r="AK98" s="25" t="s">
        <v>27</v>
      </c>
    </row>
    <row r="99" spans="1:37" s="24" customFormat="1" x14ac:dyDescent="0.2">
      <c r="A99" s="21">
        <v>175</v>
      </c>
      <c r="B99" s="21"/>
      <c r="C99" s="22">
        <v>45</v>
      </c>
      <c r="D99" s="22">
        <v>19</v>
      </c>
      <c r="E99" s="22">
        <v>30</v>
      </c>
      <c r="F99" s="22"/>
      <c r="G99" s="23">
        <v>47.98</v>
      </c>
      <c r="H99" s="23">
        <v>24.56</v>
      </c>
      <c r="I99" s="23">
        <v>26.5</v>
      </c>
      <c r="J99" s="22"/>
      <c r="L99" s="24">
        <v>4</v>
      </c>
      <c r="M99" s="24">
        <v>4</v>
      </c>
      <c r="N99" s="24">
        <v>4</v>
      </c>
      <c r="O99" s="24">
        <v>4</v>
      </c>
      <c r="P99" s="24">
        <v>4</v>
      </c>
      <c r="Q99" s="24">
        <v>4</v>
      </c>
      <c r="R99" s="24">
        <v>4</v>
      </c>
      <c r="S99" s="24">
        <v>4</v>
      </c>
      <c r="T99" s="24">
        <v>-1</v>
      </c>
      <c r="V99" s="24">
        <v>4</v>
      </c>
      <c r="W99" s="24">
        <v>4</v>
      </c>
      <c r="X99" s="24">
        <v>4</v>
      </c>
      <c r="Y99" s="24">
        <v>4</v>
      </c>
      <c r="Z99" s="24">
        <v>4</v>
      </c>
      <c r="AA99" s="24">
        <v>4</v>
      </c>
      <c r="AB99" s="24">
        <v>4</v>
      </c>
      <c r="AC99" s="24">
        <v>4</v>
      </c>
      <c r="AD99" s="24">
        <v>4</v>
      </c>
      <c r="AF99" s="21">
        <v>8</v>
      </c>
      <c r="AI99" s="22" t="s">
        <v>26</v>
      </c>
      <c r="AK99" s="25" t="s">
        <v>27</v>
      </c>
    </row>
    <row r="100" spans="1:37" s="24" customFormat="1" x14ac:dyDescent="0.2">
      <c r="A100" s="21">
        <v>176</v>
      </c>
      <c r="B100" s="21"/>
      <c r="C100" s="22">
        <v>-45</v>
      </c>
      <c r="D100" s="22">
        <v>7</v>
      </c>
      <c r="E100" s="22">
        <v>24</v>
      </c>
      <c r="F100" s="22"/>
      <c r="G100" s="23">
        <v>-46.5</v>
      </c>
      <c r="H100" s="23">
        <v>10.85</v>
      </c>
      <c r="I100" s="23">
        <v>23.04</v>
      </c>
      <c r="J100" s="22"/>
      <c r="L100" s="24">
        <v>4</v>
      </c>
      <c r="M100" s="24">
        <v>4</v>
      </c>
      <c r="N100" s="24">
        <v>4</v>
      </c>
      <c r="O100" s="24">
        <v>4</v>
      </c>
      <c r="P100" s="24">
        <v>17</v>
      </c>
      <c r="Q100" s="24">
        <v>4</v>
      </c>
      <c r="R100" s="24">
        <v>4</v>
      </c>
      <c r="S100" s="24">
        <v>4</v>
      </c>
      <c r="T100" s="24">
        <v>-1</v>
      </c>
      <c r="V100" s="24">
        <v>4</v>
      </c>
      <c r="W100" s="24">
        <v>4</v>
      </c>
      <c r="X100" s="24">
        <v>4</v>
      </c>
      <c r="Y100" s="24">
        <v>4</v>
      </c>
      <c r="Z100" s="24">
        <v>4</v>
      </c>
      <c r="AA100" s="24">
        <v>4</v>
      </c>
      <c r="AB100" s="24">
        <v>4</v>
      </c>
      <c r="AC100" s="24">
        <v>4</v>
      </c>
      <c r="AD100" s="24">
        <v>4</v>
      </c>
      <c r="AF100" s="21">
        <v>8</v>
      </c>
      <c r="AI100" s="22" t="s">
        <v>26</v>
      </c>
      <c r="AK100" s="25" t="s">
        <v>27</v>
      </c>
    </row>
    <row r="101" spans="1:37" s="24" customFormat="1" x14ac:dyDescent="0.2">
      <c r="A101" s="21">
        <v>177</v>
      </c>
      <c r="B101" s="21"/>
      <c r="C101" s="22">
        <v>-51</v>
      </c>
      <c r="D101" s="22">
        <v>-50</v>
      </c>
      <c r="E101" s="22">
        <v>39</v>
      </c>
      <c r="F101" s="22"/>
      <c r="G101" s="23">
        <v>-52.6</v>
      </c>
      <c r="H101" s="23">
        <v>-48.83</v>
      </c>
      <c r="I101" s="23">
        <v>42.5</v>
      </c>
      <c r="J101" s="22"/>
      <c r="L101" s="24">
        <v>4</v>
      </c>
      <c r="M101" s="24">
        <v>4</v>
      </c>
      <c r="N101" s="24">
        <v>4</v>
      </c>
      <c r="O101" s="24">
        <v>4</v>
      </c>
      <c r="P101" s="24">
        <v>4</v>
      </c>
      <c r="Q101" s="24">
        <v>4</v>
      </c>
      <c r="R101" s="24">
        <v>34</v>
      </c>
      <c r="S101" s="24">
        <v>5</v>
      </c>
      <c r="T101" s="24">
        <v>-1</v>
      </c>
      <c r="V101" s="24">
        <v>4</v>
      </c>
      <c r="W101" s="24">
        <v>4</v>
      </c>
      <c r="X101" s="24">
        <v>4</v>
      </c>
      <c r="Y101" s="24">
        <v>4</v>
      </c>
      <c r="Z101" s="24">
        <v>4</v>
      </c>
      <c r="AA101" s="24">
        <v>4</v>
      </c>
      <c r="AB101" s="24">
        <v>4</v>
      </c>
      <c r="AC101" s="24">
        <v>4</v>
      </c>
      <c r="AD101" s="24">
        <v>-1</v>
      </c>
      <c r="AF101" s="21">
        <v>8</v>
      </c>
      <c r="AI101" s="22" t="s">
        <v>26</v>
      </c>
      <c r="AK101" s="25" t="s">
        <v>27</v>
      </c>
    </row>
    <row r="102" spans="1:37" s="24" customFormat="1" x14ac:dyDescent="0.2">
      <c r="A102" s="21">
        <v>178</v>
      </c>
      <c r="B102" s="21"/>
      <c r="C102" s="22">
        <v>-23</v>
      </c>
      <c r="D102" s="22">
        <v>6</v>
      </c>
      <c r="E102" s="22">
        <v>63</v>
      </c>
      <c r="F102" s="22"/>
      <c r="G102" s="23">
        <v>-22.53</v>
      </c>
      <c r="H102" s="23">
        <v>10.76</v>
      </c>
      <c r="I102" s="23">
        <v>63.73</v>
      </c>
      <c r="J102" s="22"/>
      <c r="L102" s="24">
        <v>4</v>
      </c>
      <c r="M102" s="24">
        <v>4</v>
      </c>
      <c r="N102" s="24">
        <v>4</v>
      </c>
      <c r="O102" s="24">
        <v>4</v>
      </c>
      <c r="P102" s="24">
        <v>4</v>
      </c>
      <c r="Q102" s="24">
        <v>4</v>
      </c>
      <c r="R102" s="24">
        <v>4</v>
      </c>
      <c r="S102" s="24">
        <v>4</v>
      </c>
      <c r="T102" s="24">
        <v>-1</v>
      </c>
      <c r="V102" s="24">
        <v>4</v>
      </c>
      <c r="W102" s="24">
        <v>4</v>
      </c>
      <c r="X102" s="24">
        <v>4</v>
      </c>
      <c r="Y102" s="24">
        <v>4</v>
      </c>
      <c r="Z102" s="24">
        <v>4</v>
      </c>
      <c r="AA102" s="24">
        <v>4</v>
      </c>
      <c r="AB102" s="24">
        <v>4</v>
      </c>
      <c r="AC102" s="24">
        <v>4</v>
      </c>
      <c r="AD102" s="24">
        <v>4</v>
      </c>
      <c r="AF102" s="21">
        <v>8</v>
      </c>
      <c r="AI102" s="22" t="s">
        <v>26</v>
      </c>
      <c r="AK102" s="25" t="s">
        <v>27</v>
      </c>
    </row>
    <row r="103" spans="1:37" s="24" customFormat="1" x14ac:dyDescent="0.2">
      <c r="A103" s="21">
        <v>179</v>
      </c>
      <c r="B103" s="21"/>
      <c r="C103" s="22">
        <v>56</v>
      </c>
      <c r="D103" s="22">
        <v>-54</v>
      </c>
      <c r="E103" s="22">
        <v>-12</v>
      </c>
      <c r="F103" s="22"/>
      <c r="G103" s="23">
        <v>58.31</v>
      </c>
      <c r="H103" s="23">
        <v>-52.79</v>
      </c>
      <c r="I103" s="23">
        <v>-13.61</v>
      </c>
      <c r="J103" s="22"/>
      <c r="L103" s="24">
        <v>4</v>
      </c>
      <c r="M103" s="24">
        <v>4</v>
      </c>
      <c r="N103" s="24">
        <v>4</v>
      </c>
      <c r="O103" s="24">
        <v>4</v>
      </c>
      <c r="P103" s="24">
        <v>4</v>
      </c>
      <c r="Q103" s="24">
        <v>4</v>
      </c>
      <c r="R103" s="24">
        <v>4</v>
      </c>
      <c r="S103" s="24">
        <v>4</v>
      </c>
      <c r="T103" s="24">
        <v>-1</v>
      </c>
      <c r="V103" s="24">
        <v>4</v>
      </c>
      <c r="W103" s="24">
        <v>4</v>
      </c>
      <c r="X103" s="24">
        <v>4</v>
      </c>
      <c r="Y103" s="24">
        <v>4</v>
      </c>
      <c r="Z103" s="24">
        <v>4</v>
      </c>
      <c r="AA103" s="24">
        <v>4</v>
      </c>
      <c r="AB103" s="24">
        <v>4</v>
      </c>
      <c r="AC103" s="24">
        <v>-1</v>
      </c>
      <c r="AD103" s="24">
        <v>-1</v>
      </c>
      <c r="AF103" s="21">
        <v>8</v>
      </c>
      <c r="AI103" s="22" t="s">
        <v>26</v>
      </c>
      <c r="AK103" s="25" t="s">
        <v>27</v>
      </c>
    </row>
    <row r="104" spans="1:37" s="24" customFormat="1" x14ac:dyDescent="0.2">
      <c r="A104" s="21">
        <v>180</v>
      </c>
      <c r="B104" s="21"/>
      <c r="C104" s="22">
        <v>23</v>
      </c>
      <c r="D104" s="22">
        <v>39</v>
      </c>
      <c r="E104" s="22">
        <v>-9</v>
      </c>
      <c r="F104" s="22"/>
      <c r="G104" s="23">
        <v>24.07</v>
      </c>
      <c r="H104" s="23">
        <v>44.61</v>
      </c>
      <c r="I104" s="23">
        <v>-15.35</v>
      </c>
      <c r="J104" s="22"/>
      <c r="L104" s="24">
        <v>4</v>
      </c>
      <c r="M104" s="24">
        <v>4</v>
      </c>
      <c r="N104" s="24">
        <v>4</v>
      </c>
      <c r="O104" s="24">
        <v>4</v>
      </c>
      <c r="P104" s="24">
        <v>4</v>
      </c>
      <c r="Q104" s="24">
        <v>4</v>
      </c>
      <c r="R104" s="24">
        <v>-1</v>
      </c>
      <c r="S104" s="24">
        <v>-1</v>
      </c>
      <c r="T104" s="24">
        <v>-1</v>
      </c>
      <c r="V104" s="24">
        <v>4</v>
      </c>
      <c r="W104" s="24">
        <v>4</v>
      </c>
      <c r="X104" s="24">
        <v>4</v>
      </c>
      <c r="Y104" s="24">
        <v>4</v>
      </c>
      <c r="Z104" s="24">
        <v>4</v>
      </c>
      <c r="AA104" s="24">
        <v>4</v>
      </c>
      <c r="AB104" s="24">
        <v>4</v>
      </c>
      <c r="AC104" s="24">
        <v>4</v>
      </c>
      <c r="AD104" s="24">
        <v>-1</v>
      </c>
      <c r="AF104" s="21">
        <v>8</v>
      </c>
      <c r="AI104" s="22" t="s">
        <v>26</v>
      </c>
      <c r="AK104" s="25" t="s">
        <v>27</v>
      </c>
    </row>
    <row r="105" spans="1:37" s="24" customFormat="1" x14ac:dyDescent="0.2">
      <c r="A105" s="21">
        <v>181</v>
      </c>
      <c r="B105" s="21"/>
      <c r="C105" s="22">
        <v>32</v>
      </c>
      <c r="D105" s="22">
        <v>48</v>
      </c>
      <c r="E105" s="22">
        <v>-6</v>
      </c>
      <c r="F105" s="22"/>
      <c r="G105" s="23">
        <v>33.6</v>
      </c>
      <c r="H105" s="23">
        <v>54.22</v>
      </c>
      <c r="I105" s="23">
        <v>-12.95</v>
      </c>
      <c r="J105" s="22"/>
      <c r="L105" s="24">
        <v>4</v>
      </c>
      <c r="M105" s="24">
        <v>4</v>
      </c>
      <c r="N105" s="24">
        <v>4</v>
      </c>
      <c r="O105" s="24">
        <v>4</v>
      </c>
      <c r="P105" s="24">
        <v>4</v>
      </c>
      <c r="Q105" s="24">
        <v>4</v>
      </c>
      <c r="R105" s="24">
        <v>4</v>
      </c>
      <c r="S105" s="24">
        <v>-1</v>
      </c>
      <c r="T105" s="24">
        <v>-1</v>
      </c>
      <c r="V105" s="24">
        <v>4</v>
      </c>
      <c r="W105" s="24">
        <v>4</v>
      </c>
      <c r="X105" s="24">
        <v>4</v>
      </c>
      <c r="Y105" s="24">
        <v>4</v>
      </c>
      <c r="Z105" s="24">
        <v>4</v>
      </c>
      <c r="AA105" s="24">
        <v>4</v>
      </c>
      <c r="AB105" s="24">
        <v>4</v>
      </c>
      <c r="AC105" s="24">
        <v>-1</v>
      </c>
      <c r="AD105" s="24">
        <v>-1</v>
      </c>
      <c r="AF105" s="21">
        <v>8</v>
      </c>
      <c r="AI105" s="22" t="s">
        <v>26</v>
      </c>
      <c r="AK105" s="25" t="s">
        <v>27</v>
      </c>
    </row>
    <row r="106" spans="1:37" x14ac:dyDescent="0.2">
      <c r="A106" s="3">
        <v>182</v>
      </c>
      <c r="C106" s="2">
        <v>-20</v>
      </c>
      <c r="D106" s="2">
        <v>36</v>
      </c>
      <c r="E106" s="2">
        <v>-15</v>
      </c>
      <c r="G106" s="16">
        <v>-21.14</v>
      </c>
      <c r="H106" s="16">
        <v>40.869999999999997</v>
      </c>
      <c r="I106" s="16">
        <v>-20.48</v>
      </c>
      <c r="L106">
        <v>-1</v>
      </c>
      <c r="M106">
        <v>4</v>
      </c>
      <c r="N106">
        <v>4</v>
      </c>
      <c r="O106">
        <v>4</v>
      </c>
      <c r="P106">
        <v>-1</v>
      </c>
      <c r="Q106">
        <v>-1</v>
      </c>
      <c r="R106">
        <v>-1</v>
      </c>
      <c r="S106">
        <v>-1</v>
      </c>
      <c r="T106">
        <v>-1</v>
      </c>
      <c r="V106">
        <v>4</v>
      </c>
      <c r="W106">
        <v>4</v>
      </c>
      <c r="X106">
        <v>4</v>
      </c>
      <c r="Y106">
        <v>4</v>
      </c>
      <c r="Z106">
        <v>-1</v>
      </c>
      <c r="AA106">
        <v>-1</v>
      </c>
      <c r="AB106">
        <v>-1</v>
      </c>
      <c r="AC106">
        <v>-1</v>
      </c>
      <c r="AD106">
        <v>-1</v>
      </c>
      <c r="AF106" s="3">
        <v>-1</v>
      </c>
      <c r="AI106" s="2" t="s">
        <v>15</v>
      </c>
      <c r="AK106" s="1" t="s">
        <v>28</v>
      </c>
    </row>
    <row r="107" spans="1:37" x14ac:dyDescent="0.2">
      <c r="A107" s="3">
        <v>183</v>
      </c>
      <c r="C107" s="2">
        <v>-16</v>
      </c>
      <c r="D107" s="2">
        <v>-75</v>
      </c>
      <c r="E107" s="2">
        <v>-25</v>
      </c>
      <c r="G107" s="16">
        <v>-17.510000000000002</v>
      </c>
      <c r="H107" s="16">
        <v>-75.89</v>
      </c>
      <c r="I107" s="16">
        <v>-24.33</v>
      </c>
      <c r="L107">
        <v>4</v>
      </c>
      <c r="M107">
        <v>4</v>
      </c>
      <c r="N107">
        <v>4</v>
      </c>
      <c r="O107">
        <v>8</v>
      </c>
      <c r="P107">
        <v>8</v>
      </c>
      <c r="Q107">
        <v>-1</v>
      </c>
      <c r="R107">
        <v>-1</v>
      </c>
      <c r="S107">
        <v>-1</v>
      </c>
      <c r="T107">
        <v>-1</v>
      </c>
      <c r="V107">
        <v>8</v>
      </c>
      <c r="W107">
        <v>8</v>
      </c>
      <c r="X107">
        <v>8</v>
      </c>
      <c r="Y107">
        <v>8</v>
      </c>
      <c r="Z107">
        <v>8</v>
      </c>
      <c r="AA107">
        <v>8</v>
      </c>
      <c r="AB107">
        <v>-1</v>
      </c>
      <c r="AC107">
        <v>-1</v>
      </c>
      <c r="AD107">
        <v>-1</v>
      </c>
      <c r="AF107" s="3">
        <v>-1</v>
      </c>
      <c r="AI107" s="2" t="s">
        <v>15</v>
      </c>
      <c r="AK107" s="1" t="s">
        <v>28</v>
      </c>
    </row>
    <row r="108" spans="1:37" x14ac:dyDescent="0.2">
      <c r="A108" s="3">
        <v>184</v>
      </c>
      <c r="C108" s="2">
        <v>17</v>
      </c>
      <c r="D108" s="2">
        <v>-79</v>
      </c>
      <c r="E108" s="2">
        <v>-34</v>
      </c>
      <c r="G108" s="16">
        <v>16.850000000000001</v>
      </c>
      <c r="H108" s="16">
        <v>-79.89</v>
      </c>
      <c r="I108" s="16">
        <v>-34.36</v>
      </c>
      <c r="L108">
        <v>2</v>
      </c>
      <c r="M108">
        <v>4</v>
      </c>
      <c r="N108">
        <v>4</v>
      </c>
      <c r="O108">
        <v>4</v>
      </c>
      <c r="P108">
        <v>8</v>
      </c>
      <c r="Q108">
        <v>-1</v>
      </c>
      <c r="R108">
        <v>-1</v>
      </c>
      <c r="S108">
        <v>-1</v>
      </c>
      <c r="T108">
        <v>-1</v>
      </c>
      <c r="V108">
        <v>2</v>
      </c>
      <c r="W108">
        <v>2</v>
      </c>
      <c r="X108">
        <v>-1</v>
      </c>
      <c r="Y108">
        <v>-1</v>
      </c>
      <c r="Z108">
        <v>-1</v>
      </c>
      <c r="AA108">
        <v>-1</v>
      </c>
      <c r="AB108">
        <v>-1</v>
      </c>
      <c r="AC108">
        <v>-1</v>
      </c>
      <c r="AD108">
        <v>-1</v>
      </c>
      <c r="AF108" s="3">
        <v>-1</v>
      </c>
      <c r="AI108" s="2" t="s">
        <v>15</v>
      </c>
      <c r="AK108" s="1" t="s">
        <v>28</v>
      </c>
    </row>
    <row r="109" spans="1:37" x14ac:dyDescent="0.2">
      <c r="A109" s="3">
        <v>185</v>
      </c>
      <c r="C109" s="2">
        <v>34</v>
      </c>
      <c r="D109" s="2">
        <v>-67</v>
      </c>
      <c r="E109" s="2">
        <v>-33</v>
      </c>
      <c r="G109" s="16">
        <v>34.72</v>
      </c>
      <c r="H109" s="16">
        <v>-67.08</v>
      </c>
      <c r="I109" s="16">
        <v>-34.450000000000003</v>
      </c>
      <c r="L109">
        <v>2</v>
      </c>
      <c r="M109">
        <v>4</v>
      </c>
      <c r="N109">
        <v>4</v>
      </c>
      <c r="O109">
        <v>4</v>
      </c>
      <c r="P109">
        <v>4</v>
      </c>
      <c r="Q109">
        <v>-1</v>
      </c>
      <c r="R109">
        <v>-1</v>
      </c>
      <c r="S109">
        <v>-1</v>
      </c>
      <c r="T109">
        <v>-1</v>
      </c>
      <c r="V109">
        <v>2</v>
      </c>
      <c r="W109">
        <v>2</v>
      </c>
      <c r="X109">
        <v>-1</v>
      </c>
      <c r="Y109">
        <v>-1</v>
      </c>
      <c r="Z109">
        <v>-1</v>
      </c>
      <c r="AA109">
        <v>-1</v>
      </c>
      <c r="AB109">
        <v>-1</v>
      </c>
      <c r="AC109">
        <v>-1</v>
      </c>
      <c r="AD109">
        <v>-1</v>
      </c>
      <c r="AF109" s="3">
        <v>-1</v>
      </c>
      <c r="AI109" s="2" t="s">
        <v>15</v>
      </c>
      <c r="AK109" s="1" t="s">
        <v>28</v>
      </c>
    </row>
    <row r="110" spans="1:37" s="24" customFormat="1" x14ac:dyDescent="0.2">
      <c r="A110" s="21">
        <v>186</v>
      </c>
      <c r="B110" s="21"/>
      <c r="C110" s="22">
        <v>44</v>
      </c>
      <c r="D110" s="22">
        <v>5</v>
      </c>
      <c r="E110" s="22">
        <v>35</v>
      </c>
      <c r="F110" s="22"/>
      <c r="G110" s="23">
        <v>47.01</v>
      </c>
      <c r="H110" s="23">
        <v>9.93</v>
      </c>
      <c r="I110" s="23">
        <v>32.659999999999997</v>
      </c>
      <c r="J110" s="22"/>
      <c r="L110" s="24">
        <v>4</v>
      </c>
      <c r="M110" s="24">
        <v>4</v>
      </c>
      <c r="N110" s="24">
        <v>4</v>
      </c>
      <c r="O110" s="24">
        <v>4</v>
      </c>
      <c r="P110" s="24">
        <v>4</v>
      </c>
      <c r="Q110" s="24">
        <v>4</v>
      </c>
      <c r="R110" s="24">
        <v>4</v>
      </c>
      <c r="S110" s="24">
        <v>4</v>
      </c>
      <c r="T110" s="24">
        <v>4</v>
      </c>
      <c r="V110" s="24">
        <v>4</v>
      </c>
      <c r="W110" s="24">
        <v>4</v>
      </c>
      <c r="X110" s="24">
        <v>4</v>
      </c>
      <c r="Y110" s="24">
        <v>4</v>
      </c>
      <c r="Z110" s="24">
        <v>4</v>
      </c>
      <c r="AA110" s="24">
        <v>4</v>
      </c>
      <c r="AB110" s="24">
        <v>4</v>
      </c>
      <c r="AC110" s="24">
        <v>4</v>
      </c>
      <c r="AD110" s="24">
        <v>4</v>
      </c>
      <c r="AF110" s="21">
        <v>8</v>
      </c>
      <c r="AI110" s="22" t="s">
        <v>26</v>
      </c>
      <c r="AK110" s="25" t="s">
        <v>27</v>
      </c>
    </row>
    <row r="111" spans="1:37" s="24" customFormat="1" x14ac:dyDescent="0.2">
      <c r="A111" s="21">
        <v>187</v>
      </c>
      <c r="B111" s="21"/>
      <c r="C111" s="22">
        <v>-40</v>
      </c>
      <c r="D111" s="22">
        <v>2</v>
      </c>
      <c r="E111" s="22">
        <v>33</v>
      </c>
      <c r="F111" s="22"/>
      <c r="G111" s="23">
        <v>-41.06</v>
      </c>
      <c r="H111" s="23">
        <v>5.81</v>
      </c>
      <c r="I111" s="23">
        <v>32.72</v>
      </c>
      <c r="J111" s="22"/>
      <c r="L111" s="24">
        <v>4</v>
      </c>
      <c r="M111" s="24">
        <v>4</v>
      </c>
      <c r="N111" s="24">
        <v>4</v>
      </c>
      <c r="O111" s="24">
        <v>4</v>
      </c>
      <c r="P111" s="24">
        <v>4</v>
      </c>
      <c r="Q111" s="24">
        <v>4</v>
      </c>
      <c r="R111" s="24">
        <v>4</v>
      </c>
      <c r="S111" s="24">
        <v>4</v>
      </c>
      <c r="T111" s="24">
        <v>4</v>
      </c>
      <c r="V111" s="24">
        <v>4</v>
      </c>
      <c r="W111" s="24">
        <v>4</v>
      </c>
      <c r="X111" s="24">
        <v>4</v>
      </c>
      <c r="Y111" s="24">
        <v>4</v>
      </c>
      <c r="Z111" s="24">
        <v>4</v>
      </c>
      <c r="AA111" s="24">
        <v>4</v>
      </c>
      <c r="AB111" s="24">
        <v>4</v>
      </c>
      <c r="AC111" s="24">
        <v>4</v>
      </c>
      <c r="AD111" s="24">
        <v>4</v>
      </c>
      <c r="AF111" s="21">
        <v>8</v>
      </c>
      <c r="AI111" s="22" t="s">
        <v>26</v>
      </c>
      <c r="AK111" s="25" t="s">
        <v>27</v>
      </c>
    </row>
    <row r="112" spans="1:37" s="24" customFormat="1" x14ac:dyDescent="0.2">
      <c r="A112" s="21">
        <v>188</v>
      </c>
      <c r="B112" s="21"/>
      <c r="C112" s="22">
        <v>-41</v>
      </c>
      <c r="D112" s="22">
        <v>33</v>
      </c>
      <c r="E112" s="22">
        <v>24</v>
      </c>
      <c r="F112" s="22"/>
      <c r="G112" s="23">
        <v>-42.23</v>
      </c>
      <c r="H112" s="23">
        <v>38.21</v>
      </c>
      <c r="I112" s="23">
        <v>21.35</v>
      </c>
      <c r="J112" s="22"/>
      <c r="L112" s="24">
        <v>4</v>
      </c>
      <c r="M112" s="24">
        <v>4</v>
      </c>
      <c r="N112" s="24">
        <v>4</v>
      </c>
      <c r="O112" s="24">
        <v>4</v>
      </c>
      <c r="P112" s="24">
        <v>4</v>
      </c>
      <c r="Q112" s="24">
        <v>4</v>
      </c>
      <c r="R112" s="24">
        <v>4</v>
      </c>
      <c r="S112" s="24">
        <v>4</v>
      </c>
      <c r="T112" s="24">
        <v>4</v>
      </c>
      <c r="V112" s="24">
        <v>4</v>
      </c>
      <c r="W112" s="24">
        <v>4</v>
      </c>
      <c r="X112" s="24">
        <v>4</v>
      </c>
      <c r="Y112" s="24">
        <v>4</v>
      </c>
      <c r="Z112" s="24">
        <v>4</v>
      </c>
      <c r="AA112" s="24">
        <v>4</v>
      </c>
      <c r="AB112" s="24">
        <v>4</v>
      </c>
      <c r="AC112" s="24">
        <v>4</v>
      </c>
      <c r="AD112" s="24">
        <v>4</v>
      </c>
      <c r="AF112" s="21">
        <v>8</v>
      </c>
      <c r="AI112" s="22" t="s">
        <v>26</v>
      </c>
      <c r="AK112" s="25" t="s">
        <v>27</v>
      </c>
    </row>
    <row r="113" spans="1:37" s="24" customFormat="1" x14ac:dyDescent="0.2">
      <c r="A113" s="21">
        <v>189</v>
      </c>
      <c r="B113" s="21"/>
      <c r="C113" s="22">
        <v>36</v>
      </c>
      <c r="D113" s="22">
        <v>37</v>
      </c>
      <c r="E113" s="22">
        <v>20</v>
      </c>
      <c r="F113" s="22"/>
      <c r="G113" s="23">
        <v>38.369999999999997</v>
      </c>
      <c r="H113" s="23">
        <v>43.18</v>
      </c>
      <c r="I113" s="23">
        <v>15.06</v>
      </c>
      <c r="J113" s="22"/>
      <c r="L113" s="24">
        <v>4</v>
      </c>
      <c r="M113" s="24">
        <v>4</v>
      </c>
      <c r="N113" s="24">
        <v>4</v>
      </c>
      <c r="O113" s="24">
        <v>4</v>
      </c>
      <c r="P113" s="24">
        <v>4</v>
      </c>
      <c r="Q113" s="24">
        <v>4</v>
      </c>
      <c r="R113" s="24">
        <v>4</v>
      </c>
      <c r="S113" s="24">
        <v>4</v>
      </c>
      <c r="T113" s="24">
        <v>4</v>
      </c>
      <c r="V113" s="24">
        <v>4</v>
      </c>
      <c r="W113" s="24">
        <v>4</v>
      </c>
      <c r="X113" s="24">
        <v>4</v>
      </c>
      <c r="Y113" s="24">
        <v>4</v>
      </c>
      <c r="Z113" s="24">
        <v>4</v>
      </c>
      <c r="AA113" s="24">
        <v>4</v>
      </c>
      <c r="AB113" s="24">
        <v>4</v>
      </c>
      <c r="AC113" s="24">
        <v>4</v>
      </c>
      <c r="AD113" s="24">
        <v>4</v>
      </c>
      <c r="AF113" s="21">
        <v>8</v>
      </c>
      <c r="AI113" s="22" t="s">
        <v>26</v>
      </c>
      <c r="AK113" s="25" t="s">
        <v>27</v>
      </c>
    </row>
    <row r="114" spans="1:37" s="24" customFormat="1" x14ac:dyDescent="0.2">
      <c r="A114" s="21">
        <v>190</v>
      </c>
      <c r="B114" s="21"/>
      <c r="C114" s="22">
        <v>46</v>
      </c>
      <c r="D114" s="22">
        <v>-45</v>
      </c>
      <c r="E114" s="22">
        <v>44</v>
      </c>
      <c r="F114" s="22"/>
      <c r="G114" s="23">
        <v>49.18</v>
      </c>
      <c r="H114" s="23">
        <v>-42.41</v>
      </c>
      <c r="I114" s="23">
        <v>45.16</v>
      </c>
      <c r="J114" s="22"/>
      <c r="L114" s="24">
        <v>4</v>
      </c>
      <c r="M114" s="24">
        <v>4</v>
      </c>
      <c r="N114" s="24">
        <v>4</v>
      </c>
      <c r="O114" s="24">
        <v>4</v>
      </c>
      <c r="P114" s="24">
        <v>4</v>
      </c>
      <c r="Q114" s="24">
        <v>4</v>
      </c>
      <c r="R114" s="24">
        <v>4</v>
      </c>
      <c r="S114" s="24">
        <v>4</v>
      </c>
      <c r="T114" s="24">
        <v>4</v>
      </c>
      <c r="V114" s="24">
        <v>4</v>
      </c>
      <c r="W114" s="24">
        <v>4</v>
      </c>
      <c r="X114" s="24">
        <v>4</v>
      </c>
      <c r="Y114" s="24">
        <v>4</v>
      </c>
      <c r="Z114" s="24">
        <v>4</v>
      </c>
      <c r="AA114" s="24">
        <v>4</v>
      </c>
      <c r="AB114" s="24">
        <v>4</v>
      </c>
      <c r="AC114" s="24">
        <v>4</v>
      </c>
      <c r="AD114" s="24">
        <v>4</v>
      </c>
      <c r="AF114" s="21">
        <v>8</v>
      </c>
      <c r="AI114" s="22" t="s">
        <v>26</v>
      </c>
      <c r="AK114" s="25" t="s">
        <v>27</v>
      </c>
    </row>
    <row r="115" spans="1:37" s="24" customFormat="1" x14ac:dyDescent="0.2">
      <c r="A115" s="21">
        <v>191</v>
      </c>
      <c r="B115" s="21"/>
      <c r="C115" s="22">
        <v>-28</v>
      </c>
      <c r="D115" s="22">
        <v>-59</v>
      </c>
      <c r="E115" s="22">
        <v>44</v>
      </c>
      <c r="F115" s="22"/>
      <c r="G115" s="23">
        <v>-28.4</v>
      </c>
      <c r="H115" s="23">
        <v>-57.93</v>
      </c>
      <c r="I115" s="23">
        <v>47.78</v>
      </c>
      <c r="J115" s="22"/>
      <c r="L115" s="24">
        <v>4</v>
      </c>
      <c r="M115" s="24">
        <v>4</v>
      </c>
      <c r="N115" s="24">
        <v>4</v>
      </c>
      <c r="O115" s="24">
        <v>4</v>
      </c>
      <c r="P115" s="24">
        <v>4</v>
      </c>
      <c r="Q115" s="24">
        <v>4</v>
      </c>
      <c r="R115" s="24">
        <v>4</v>
      </c>
      <c r="S115" s="24">
        <v>4</v>
      </c>
      <c r="T115" s="24">
        <v>4</v>
      </c>
      <c r="V115" s="24">
        <v>4</v>
      </c>
      <c r="W115" s="24">
        <v>4</v>
      </c>
      <c r="X115" s="24">
        <v>4</v>
      </c>
      <c r="Y115" s="24">
        <v>4</v>
      </c>
      <c r="Z115" s="24">
        <v>4</v>
      </c>
      <c r="AA115" s="24">
        <v>4</v>
      </c>
      <c r="AB115" s="24">
        <v>4</v>
      </c>
      <c r="AC115" s="24">
        <v>4</v>
      </c>
      <c r="AD115" s="24">
        <v>4</v>
      </c>
      <c r="AF115" s="21">
        <v>8</v>
      </c>
      <c r="AI115" s="22" t="s">
        <v>26</v>
      </c>
      <c r="AK115" s="25" t="s">
        <v>27</v>
      </c>
    </row>
    <row r="116" spans="1:37" s="24" customFormat="1" x14ac:dyDescent="0.2">
      <c r="A116" s="21">
        <v>192</v>
      </c>
      <c r="B116" s="21"/>
      <c r="C116" s="22">
        <v>41</v>
      </c>
      <c r="D116" s="22">
        <v>-55</v>
      </c>
      <c r="E116" s="22">
        <v>45</v>
      </c>
      <c r="F116" s="22"/>
      <c r="G116" s="23">
        <v>43.93</v>
      </c>
      <c r="H116" s="23">
        <v>-52.95</v>
      </c>
      <c r="I116" s="23">
        <v>46.95</v>
      </c>
      <c r="J116" s="22"/>
      <c r="L116" s="24">
        <v>4</v>
      </c>
      <c r="M116" s="24">
        <v>4</v>
      </c>
      <c r="N116" s="24">
        <v>4</v>
      </c>
      <c r="O116" s="24">
        <v>4</v>
      </c>
      <c r="P116" s="24">
        <v>4</v>
      </c>
      <c r="Q116" s="24">
        <v>4</v>
      </c>
      <c r="R116" s="24">
        <v>4</v>
      </c>
      <c r="S116" s="24">
        <v>4</v>
      </c>
      <c r="T116" s="24">
        <v>4</v>
      </c>
      <c r="V116" s="24">
        <v>4</v>
      </c>
      <c r="W116" s="24">
        <v>4</v>
      </c>
      <c r="X116" s="24">
        <v>4</v>
      </c>
      <c r="Y116" s="24">
        <v>4</v>
      </c>
      <c r="Z116" s="24">
        <v>4</v>
      </c>
      <c r="AA116" s="24">
        <v>4</v>
      </c>
      <c r="AB116" s="24">
        <v>4</v>
      </c>
      <c r="AC116" s="24">
        <v>4</v>
      </c>
      <c r="AD116" s="24">
        <v>4</v>
      </c>
      <c r="AF116" s="21">
        <v>8</v>
      </c>
      <c r="AI116" s="22" t="s">
        <v>26</v>
      </c>
      <c r="AK116" s="25" t="s">
        <v>27</v>
      </c>
    </row>
    <row r="117" spans="1:37" s="24" customFormat="1" x14ac:dyDescent="0.2">
      <c r="A117" s="21">
        <v>193</v>
      </c>
      <c r="B117" s="21"/>
      <c r="C117" s="22">
        <v>29</v>
      </c>
      <c r="D117" s="22">
        <v>9</v>
      </c>
      <c r="E117" s="22">
        <v>57</v>
      </c>
      <c r="F117" s="22"/>
      <c r="G117" s="23">
        <v>31.83</v>
      </c>
      <c r="H117" s="23">
        <v>14.37</v>
      </c>
      <c r="I117" s="23">
        <v>55.98</v>
      </c>
      <c r="J117" s="22"/>
      <c r="L117" s="24">
        <v>4</v>
      </c>
      <c r="M117" s="24">
        <v>4</v>
      </c>
      <c r="N117" s="24">
        <v>4</v>
      </c>
      <c r="O117" s="24">
        <v>4</v>
      </c>
      <c r="P117" s="24">
        <v>4</v>
      </c>
      <c r="Q117" s="24">
        <v>4</v>
      </c>
      <c r="R117" s="24">
        <v>4</v>
      </c>
      <c r="S117" s="24">
        <v>4</v>
      </c>
      <c r="T117" s="24">
        <v>4</v>
      </c>
      <c r="V117" s="24">
        <v>4</v>
      </c>
      <c r="W117" s="24">
        <v>4</v>
      </c>
      <c r="X117" s="24">
        <v>4</v>
      </c>
      <c r="Y117" s="24">
        <v>4</v>
      </c>
      <c r="Z117" s="24">
        <v>4</v>
      </c>
      <c r="AA117" s="24">
        <v>4</v>
      </c>
      <c r="AB117" s="24">
        <v>2</v>
      </c>
      <c r="AC117" s="24">
        <v>4</v>
      </c>
      <c r="AD117" s="24">
        <v>4</v>
      </c>
      <c r="AF117" s="21">
        <v>8</v>
      </c>
      <c r="AI117" s="22" t="s">
        <v>26</v>
      </c>
      <c r="AK117" s="25" t="s">
        <v>27</v>
      </c>
    </row>
    <row r="118" spans="1:37" s="24" customFormat="1" x14ac:dyDescent="0.2">
      <c r="A118" s="21">
        <v>194</v>
      </c>
      <c r="B118" s="21"/>
      <c r="C118" s="22">
        <v>35</v>
      </c>
      <c r="D118" s="22">
        <v>-66</v>
      </c>
      <c r="E118" s="22">
        <v>38</v>
      </c>
      <c r="F118" s="22"/>
      <c r="G118" s="23">
        <v>37.450000000000003</v>
      </c>
      <c r="H118" s="23">
        <v>-64.7</v>
      </c>
      <c r="I118" s="23">
        <v>40.380000000000003</v>
      </c>
      <c r="J118" s="22"/>
      <c r="L118" s="24">
        <v>4</v>
      </c>
      <c r="M118" s="24">
        <v>4</v>
      </c>
      <c r="N118" s="24">
        <v>4</v>
      </c>
      <c r="O118" s="24">
        <v>4</v>
      </c>
      <c r="P118" s="24">
        <v>4</v>
      </c>
      <c r="Q118" s="24">
        <v>4</v>
      </c>
      <c r="R118" s="24">
        <v>4</v>
      </c>
      <c r="S118" s="24">
        <v>4</v>
      </c>
      <c r="T118" s="24">
        <v>4</v>
      </c>
      <c r="V118" s="24">
        <v>4</v>
      </c>
      <c r="W118" s="24">
        <v>4</v>
      </c>
      <c r="X118" s="24">
        <v>4</v>
      </c>
      <c r="Y118" s="24">
        <v>4</v>
      </c>
      <c r="Z118" s="24">
        <v>4</v>
      </c>
      <c r="AA118" s="24">
        <v>4</v>
      </c>
      <c r="AB118" s="24">
        <v>4</v>
      </c>
      <c r="AC118" s="24">
        <v>4</v>
      </c>
      <c r="AD118" s="24">
        <v>4</v>
      </c>
      <c r="AF118" s="21">
        <v>8</v>
      </c>
      <c r="AI118" s="22" t="s">
        <v>26</v>
      </c>
      <c r="AK118" s="25" t="s">
        <v>27</v>
      </c>
    </row>
    <row r="119" spans="1:37" s="24" customFormat="1" x14ac:dyDescent="0.2">
      <c r="A119" s="21">
        <v>195</v>
      </c>
      <c r="B119" s="21"/>
      <c r="C119" s="22">
        <v>-41</v>
      </c>
      <c r="D119" s="22">
        <v>-56</v>
      </c>
      <c r="E119" s="22">
        <v>41</v>
      </c>
      <c r="F119" s="22"/>
      <c r="G119" s="23">
        <v>-42.09</v>
      </c>
      <c r="H119" s="23">
        <v>-54.98</v>
      </c>
      <c r="I119" s="23">
        <v>44.74</v>
      </c>
      <c r="J119" s="22"/>
      <c r="L119" s="24">
        <v>4</v>
      </c>
      <c r="M119" s="24">
        <v>4</v>
      </c>
      <c r="N119" s="24">
        <v>4</v>
      </c>
      <c r="O119" s="24">
        <v>4</v>
      </c>
      <c r="P119" s="24">
        <v>4</v>
      </c>
      <c r="Q119" s="24">
        <v>4</v>
      </c>
      <c r="R119" s="24">
        <v>4</v>
      </c>
      <c r="S119" s="24">
        <v>4</v>
      </c>
      <c r="T119" s="24">
        <v>4</v>
      </c>
      <c r="V119" s="24">
        <v>4</v>
      </c>
      <c r="W119" s="24">
        <v>4</v>
      </c>
      <c r="X119" s="24">
        <v>4</v>
      </c>
      <c r="Y119" s="24">
        <v>4</v>
      </c>
      <c r="Z119" s="24">
        <v>4</v>
      </c>
      <c r="AA119" s="24">
        <v>4</v>
      </c>
      <c r="AB119" s="24">
        <v>4</v>
      </c>
      <c r="AC119" s="24">
        <v>4</v>
      </c>
      <c r="AD119" s="24">
        <v>4</v>
      </c>
      <c r="AF119" s="21">
        <v>8</v>
      </c>
      <c r="AI119" s="22" t="s">
        <v>26</v>
      </c>
      <c r="AK119" s="25" t="s">
        <v>27</v>
      </c>
    </row>
    <row r="120" spans="1:37" s="24" customFormat="1" x14ac:dyDescent="0.2">
      <c r="A120" s="21">
        <v>196</v>
      </c>
      <c r="B120" s="21"/>
      <c r="C120" s="22">
        <v>37</v>
      </c>
      <c r="D120" s="22">
        <v>13</v>
      </c>
      <c r="E120" s="22">
        <v>42</v>
      </c>
      <c r="F120" s="22"/>
      <c r="G120" s="23">
        <v>39.869999999999997</v>
      </c>
      <c r="H120" s="23">
        <v>18.39</v>
      </c>
      <c r="I120" s="23">
        <v>39.72</v>
      </c>
      <c r="J120" s="22"/>
      <c r="L120" s="24">
        <v>4</v>
      </c>
      <c r="M120" s="24">
        <v>4</v>
      </c>
      <c r="N120" s="24">
        <v>4</v>
      </c>
      <c r="O120" s="24">
        <v>2</v>
      </c>
      <c r="P120" s="24">
        <v>2</v>
      </c>
      <c r="Q120" s="24">
        <v>4</v>
      </c>
      <c r="R120" s="24">
        <v>4</v>
      </c>
      <c r="S120" s="24">
        <v>2</v>
      </c>
      <c r="T120" s="24">
        <v>4</v>
      </c>
      <c r="V120" s="24">
        <v>4</v>
      </c>
      <c r="W120" s="24">
        <v>4</v>
      </c>
      <c r="X120" s="24">
        <v>4</v>
      </c>
      <c r="Y120" s="24">
        <v>4</v>
      </c>
      <c r="Z120" s="24">
        <v>4</v>
      </c>
      <c r="AA120" s="24">
        <v>4</v>
      </c>
      <c r="AB120" s="24">
        <v>4</v>
      </c>
      <c r="AC120" s="24">
        <v>4</v>
      </c>
      <c r="AD120" s="24">
        <v>4</v>
      </c>
      <c r="AF120" s="21">
        <v>8</v>
      </c>
      <c r="AI120" s="22" t="s">
        <v>26</v>
      </c>
      <c r="AK120" s="25" t="s">
        <v>27</v>
      </c>
    </row>
    <row r="121" spans="1:37" s="24" customFormat="1" x14ac:dyDescent="0.2">
      <c r="A121" s="21">
        <v>197</v>
      </c>
      <c r="B121" s="21"/>
      <c r="C121" s="22">
        <v>-33</v>
      </c>
      <c r="D121" s="22">
        <v>49</v>
      </c>
      <c r="E121" s="22">
        <v>9</v>
      </c>
      <c r="F121" s="22"/>
      <c r="G121" s="23">
        <v>-34.159999999999997</v>
      </c>
      <c r="H121" s="23">
        <v>54.83</v>
      </c>
      <c r="I121" s="23">
        <v>4.3600000000000003</v>
      </c>
      <c r="J121" s="22"/>
      <c r="L121" s="24">
        <v>4</v>
      </c>
      <c r="M121" s="24">
        <v>4</v>
      </c>
      <c r="N121" s="24">
        <v>4</v>
      </c>
      <c r="O121" s="24">
        <v>4</v>
      </c>
      <c r="P121" s="24">
        <v>4</v>
      </c>
      <c r="Q121" s="24">
        <v>4</v>
      </c>
      <c r="R121" s="24">
        <v>4</v>
      </c>
      <c r="S121" s="24">
        <v>4</v>
      </c>
      <c r="T121" s="24">
        <v>4</v>
      </c>
      <c r="V121" s="24">
        <v>4</v>
      </c>
      <c r="W121" s="24">
        <v>4</v>
      </c>
      <c r="X121" s="24">
        <v>4</v>
      </c>
      <c r="Y121" s="24">
        <v>4</v>
      </c>
      <c r="Z121" s="24">
        <v>4</v>
      </c>
      <c r="AA121" s="24">
        <v>4</v>
      </c>
      <c r="AB121" s="24">
        <v>4</v>
      </c>
      <c r="AC121" s="24">
        <v>4</v>
      </c>
      <c r="AD121" s="24">
        <v>-1</v>
      </c>
      <c r="AF121" s="21">
        <v>8</v>
      </c>
      <c r="AI121" s="22" t="s">
        <v>26</v>
      </c>
      <c r="AK121" s="25" t="s">
        <v>27</v>
      </c>
    </row>
    <row r="122" spans="1:37" s="24" customFormat="1" x14ac:dyDescent="0.2">
      <c r="A122" s="21">
        <v>198</v>
      </c>
      <c r="B122" s="21"/>
      <c r="C122" s="22">
        <v>-40</v>
      </c>
      <c r="D122" s="22">
        <v>40</v>
      </c>
      <c r="E122" s="22">
        <v>2</v>
      </c>
      <c r="F122" s="22"/>
      <c r="G122" s="23">
        <v>-41.68</v>
      </c>
      <c r="H122" s="23">
        <v>45.16</v>
      </c>
      <c r="I122" s="23">
        <v>-2.31</v>
      </c>
      <c r="J122" s="22"/>
      <c r="L122" s="24">
        <v>4</v>
      </c>
      <c r="M122" s="24">
        <v>4</v>
      </c>
      <c r="N122" s="24">
        <v>4</v>
      </c>
      <c r="O122" s="24">
        <v>4</v>
      </c>
      <c r="P122" s="24">
        <v>4</v>
      </c>
      <c r="Q122" s="24">
        <v>4</v>
      </c>
      <c r="R122" s="24">
        <v>4</v>
      </c>
      <c r="S122" s="24">
        <v>4</v>
      </c>
      <c r="T122" s="24">
        <v>4</v>
      </c>
      <c r="V122" s="24">
        <v>4</v>
      </c>
      <c r="W122" s="24">
        <v>4</v>
      </c>
      <c r="X122" s="24">
        <v>4</v>
      </c>
      <c r="Y122" s="24">
        <v>4</v>
      </c>
      <c r="Z122" s="24">
        <v>4</v>
      </c>
      <c r="AA122" s="24">
        <v>4</v>
      </c>
      <c r="AB122" s="24">
        <v>4</v>
      </c>
      <c r="AC122" s="24">
        <v>4</v>
      </c>
      <c r="AD122" s="24">
        <v>4</v>
      </c>
      <c r="AF122" s="21">
        <v>8</v>
      </c>
      <c r="AI122" s="22" t="s">
        <v>26</v>
      </c>
      <c r="AK122" s="25" t="s">
        <v>27</v>
      </c>
    </row>
    <row r="123" spans="1:37" s="24" customFormat="1" x14ac:dyDescent="0.2">
      <c r="A123" s="21">
        <v>199</v>
      </c>
      <c r="B123" s="21"/>
      <c r="C123" s="22">
        <v>31</v>
      </c>
      <c r="D123" s="22">
        <v>-55</v>
      </c>
      <c r="E123" s="22">
        <v>42</v>
      </c>
      <c r="F123" s="22"/>
      <c r="G123" s="23">
        <v>33.380000000000003</v>
      </c>
      <c r="H123" s="23">
        <v>-53.12</v>
      </c>
      <c r="I123" s="23">
        <v>44.02</v>
      </c>
      <c r="J123" s="22"/>
      <c r="L123" s="24">
        <v>4</v>
      </c>
      <c r="M123" s="24">
        <v>4</v>
      </c>
      <c r="N123" s="24">
        <v>4</v>
      </c>
      <c r="O123" s="24">
        <v>4</v>
      </c>
      <c r="P123" s="24">
        <v>4</v>
      </c>
      <c r="Q123" s="24">
        <v>4</v>
      </c>
      <c r="R123" s="24">
        <v>4</v>
      </c>
      <c r="S123" s="24">
        <v>4</v>
      </c>
      <c r="T123" s="24">
        <v>4</v>
      </c>
      <c r="V123" s="24">
        <v>4</v>
      </c>
      <c r="W123" s="24">
        <v>4</v>
      </c>
      <c r="X123" s="24">
        <v>4</v>
      </c>
      <c r="Y123" s="24">
        <v>4</v>
      </c>
      <c r="Z123" s="24">
        <v>4</v>
      </c>
      <c r="AA123" s="24">
        <v>4</v>
      </c>
      <c r="AB123" s="24">
        <v>4</v>
      </c>
      <c r="AC123" s="24">
        <v>4</v>
      </c>
      <c r="AD123" s="24">
        <v>4</v>
      </c>
      <c r="AF123" s="21">
        <v>8</v>
      </c>
      <c r="AI123" s="22" t="s">
        <v>26</v>
      </c>
      <c r="AK123" s="25" t="s">
        <v>27</v>
      </c>
    </row>
    <row r="124" spans="1:37" s="24" customFormat="1" x14ac:dyDescent="0.2">
      <c r="A124" s="21">
        <v>200</v>
      </c>
      <c r="B124" s="21"/>
      <c r="C124" s="22">
        <v>41</v>
      </c>
      <c r="D124" s="22">
        <v>43</v>
      </c>
      <c r="E124" s="22">
        <v>4</v>
      </c>
      <c r="F124" s="22"/>
      <c r="G124" s="23">
        <v>43.25</v>
      </c>
      <c r="H124" s="23">
        <v>49.25</v>
      </c>
      <c r="I124" s="23">
        <v>-2.31</v>
      </c>
      <c r="J124" s="22"/>
      <c r="L124" s="24">
        <v>4</v>
      </c>
      <c r="M124" s="24">
        <v>4</v>
      </c>
      <c r="N124" s="24">
        <v>4</v>
      </c>
      <c r="O124" s="24">
        <v>4</v>
      </c>
      <c r="P124" s="24">
        <v>4</v>
      </c>
      <c r="Q124" s="24">
        <v>4</v>
      </c>
      <c r="R124" s="24">
        <v>4</v>
      </c>
      <c r="S124" s="24">
        <v>4</v>
      </c>
      <c r="T124" s="24">
        <v>4</v>
      </c>
      <c r="V124" s="24">
        <v>4</v>
      </c>
      <c r="W124" s="24">
        <v>4</v>
      </c>
      <c r="X124" s="24">
        <v>4</v>
      </c>
      <c r="Y124" s="24">
        <v>4</v>
      </c>
      <c r="Z124" s="24">
        <v>4</v>
      </c>
      <c r="AA124" s="24">
        <v>4</v>
      </c>
      <c r="AB124" s="24">
        <v>4</v>
      </c>
      <c r="AC124" s="24">
        <v>4</v>
      </c>
      <c r="AD124" s="24">
        <v>4</v>
      </c>
      <c r="AF124" s="21">
        <v>8</v>
      </c>
      <c r="AI124" s="22" t="s">
        <v>26</v>
      </c>
      <c r="AK124" s="25" t="s">
        <v>27</v>
      </c>
    </row>
    <row r="125" spans="1:37" s="24" customFormat="1" x14ac:dyDescent="0.2">
      <c r="A125" s="21">
        <v>201</v>
      </c>
      <c r="B125" s="21"/>
      <c r="C125" s="22">
        <v>-41</v>
      </c>
      <c r="D125" s="22">
        <v>20</v>
      </c>
      <c r="E125" s="22">
        <v>31</v>
      </c>
      <c r="F125" s="22"/>
      <c r="G125" s="23">
        <v>-42.1</v>
      </c>
      <c r="H125" s="23">
        <v>24.68</v>
      </c>
      <c r="I125" s="23">
        <v>29.53</v>
      </c>
      <c r="J125" s="22"/>
      <c r="L125" s="24">
        <v>4</v>
      </c>
      <c r="M125" s="24">
        <v>4</v>
      </c>
      <c r="N125" s="24">
        <v>4</v>
      </c>
      <c r="O125" s="24">
        <v>4</v>
      </c>
      <c r="P125" s="24">
        <v>4</v>
      </c>
      <c r="Q125" s="24">
        <v>4</v>
      </c>
      <c r="R125" s="24">
        <v>4</v>
      </c>
      <c r="S125" s="24">
        <v>4</v>
      </c>
      <c r="T125" s="24">
        <v>4</v>
      </c>
      <c r="V125" s="24">
        <v>4</v>
      </c>
      <c r="W125" s="24">
        <v>4</v>
      </c>
      <c r="X125" s="24">
        <v>4</v>
      </c>
      <c r="Y125" s="24">
        <v>4</v>
      </c>
      <c r="Z125" s="24">
        <v>4</v>
      </c>
      <c r="AA125" s="24">
        <v>4</v>
      </c>
      <c r="AB125" s="24">
        <v>4</v>
      </c>
      <c r="AC125" s="24">
        <v>4</v>
      </c>
      <c r="AD125" s="24">
        <v>4</v>
      </c>
      <c r="AF125" s="21">
        <v>8</v>
      </c>
      <c r="AI125" s="22" t="s">
        <v>26</v>
      </c>
      <c r="AK125" s="25" t="s">
        <v>27</v>
      </c>
    </row>
    <row r="126" spans="1:37" s="24" customFormat="1" x14ac:dyDescent="0.2">
      <c r="A126" s="21">
        <v>202</v>
      </c>
      <c r="B126" s="21"/>
      <c r="C126" s="22">
        <v>-4</v>
      </c>
      <c r="D126" s="22">
        <v>21</v>
      </c>
      <c r="E126" s="22">
        <v>46</v>
      </c>
      <c r="F126" s="22"/>
      <c r="G126" s="23">
        <v>-2.98</v>
      </c>
      <c r="H126" s="23">
        <v>26.41</v>
      </c>
      <c r="I126" s="23">
        <v>44.42</v>
      </c>
      <c r="J126" s="22"/>
      <c r="L126" s="24">
        <v>4</v>
      </c>
      <c r="M126" s="24">
        <v>4</v>
      </c>
      <c r="N126" s="24">
        <v>4</v>
      </c>
      <c r="O126" s="24">
        <v>4</v>
      </c>
      <c r="P126" s="24">
        <v>4</v>
      </c>
      <c r="Q126" s="24">
        <v>4</v>
      </c>
      <c r="R126" s="24">
        <v>4</v>
      </c>
      <c r="S126" s="24">
        <v>4</v>
      </c>
      <c r="T126" s="24">
        <v>4</v>
      </c>
      <c r="V126" s="24">
        <v>4</v>
      </c>
      <c r="W126" s="24">
        <v>4</v>
      </c>
      <c r="X126" s="24">
        <v>4</v>
      </c>
      <c r="Y126" s="24">
        <v>4</v>
      </c>
      <c r="Z126" s="24">
        <v>4</v>
      </c>
      <c r="AA126" s="24">
        <v>4</v>
      </c>
      <c r="AB126" s="24">
        <v>4</v>
      </c>
      <c r="AC126" s="24">
        <v>4</v>
      </c>
      <c r="AD126" s="24">
        <v>-1</v>
      </c>
      <c r="AF126" s="21">
        <v>8</v>
      </c>
      <c r="AI126" s="22" t="s">
        <v>26</v>
      </c>
      <c r="AK126" s="25" t="s">
        <v>27</v>
      </c>
    </row>
    <row r="127" spans="1:37" x14ac:dyDescent="0.2">
      <c r="A127" s="3">
        <v>203</v>
      </c>
      <c r="C127" s="2">
        <v>9</v>
      </c>
      <c r="D127" s="2">
        <v>-41</v>
      </c>
      <c r="E127" s="2">
        <v>48</v>
      </c>
      <c r="G127" s="16">
        <v>10.51</v>
      </c>
      <c r="H127" s="16">
        <v>-38.54</v>
      </c>
      <c r="I127" s="16">
        <v>50.02</v>
      </c>
      <c r="L127">
        <v>5</v>
      </c>
      <c r="M127">
        <v>5</v>
      </c>
      <c r="N127">
        <v>5</v>
      </c>
      <c r="O127">
        <v>5</v>
      </c>
      <c r="P127">
        <v>5</v>
      </c>
      <c r="Q127">
        <v>1</v>
      </c>
      <c r="R127">
        <v>17</v>
      </c>
      <c r="S127">
        <v>17</v>
      </c>
      <c r="T127">
        <v>-1</v>
      </c>
      <c r="V127">
        <v>5</v>
      </c>
      <c r="W127">
        <v>5</v>
      </c>
      <c r="X127">
        <v>5</v>
      </c>
      <c r="Y127">
        <v>5</v>
      </c>
      <c r="Z127">
        <v>5</v>
      </c>
      <c r="AA127">
        <v>21</v>
      </c>
      <c r="AB127">
        <v>21</v>
      </c>
      <c r="AC127">
        <v>-1</v>
      </c>
      <c r="AD127">
        <v>-1</v>
      </c>
      <c r="AF127" s="3">
        <v>9</v>
      </c>
      <c r="AH127" s="10"/>
      <c r="AI127" s="2" t="s">
        <v>29</v>
      </c>
      <c r="AK127" s="1" t="s">
        <v>30</v>
      </c>
    </row>
    <row r="128" spans="1:37" x14ac:dyDescent="0.2">
      <c r="A128" s="3">
        <v>204</v>
      </c>
      <c r="C128" s="2">
        <v>52</v>
      </c>
      <c r="D128" s="2">
        <v>-47</v>
      </c>
      <c r="E128" s="2">
        <v>36</v>
      </c>
      <c r="G128" s="16">
        <v>55.27</v>
      </c>
      <c r="H128" s="16">
        <v>-44.59</v>
      </c>
      <c r="I128" s="16">
        <v>36.700000000000003</v>
      </c>
      <c r="L128">
        <v>5</v>
      </c>
      <c r="M128">
        <v>5</v>
      </c>
      <c r="N128">
        <v>5</v>
      </c>
      <c r="O128">
        <v>5</v>
      </c>
      <c r="P128">
        <v>5</v>
      </c>
      <c r="Q128">
        <v>5</v>
      </c>
      <c r="R128">
        <v>34</v>
      </c>
      <c r="S128">
        <v>5</v>
      </c>
      <c r="T128">
        <v>-1</v>
      </c>
      <c r="V128">
        <v>5</v>
      </c>
      <c r="W128">
        <v>5</v>
      </c>
      <c r="X128">
        <v>5</v>
      </c>
      <c r="Y128">
        <v>5</v>
      </c>
      <c r="Z128">
        <v>5</v>
      </c>
      <c r="AA128">
        <v>5</v>
      </c>
      <c r="AB128">
        <v>4</v>
      </c>
      <c r="AC128">
        <v>5</v>
      </c>
      <c r="AD128">
        <v>-1</v>
      </c>
      <c r="AF128" s="3">
        <v>9</v>
      </c>
      <c r="AH128" s="10"/>
      <c r="AI128" s="2" t="s">
        <v>29</v>
      </c>
      <c r="AK128" s="1" t="s">
        <v>30</v>
      </c>
    </row>
    <row r="129" spans="1:37" x14ac:dyDescent="0.2">
      <c r="A129" s="3">
        <v>205</v>
      </c>
      <c r="C129" s="2">
        <v>39</v>
      </c>
      <c r="D129" s="2">
        <v>-5</v>
      </c>
      <c r="E129" s="2">
        <v>48</v>
      </c>
      <c r="G129" s="16">
        <v>42.05</v>
      </c>
      <c r="H129" s="16">
        <v>-0.39</v>
      </c>
      <c r="I129" s="16">
        <v>47.1</v>
      </c>
      <c r="L129">
        <v>5</v>
      </c>
      <c r="M129">
        <v>5</v>
      </c>
      <c r="N129">
        <v>5</v>
      </c>
      <c r="O129">
        <v>7</v>
      </c>
      <c r="P129">
        <v>7</v>
      </c>
      <c r="Q129">
        <v>5</v>
      </c>
      <c r="R129">
        <v>32</v>
      </c>
      <c r="S129">
        <v>32</v>
      </c>
      <c r="T129">
        <v>-1</v>
      </c>
      <c r="V129">
        <v>1</v>
      </c>
      <c r="W129">
        <v>1</v>
      </c>
      <c r="X129">
        <v>1</v>
      </c>
      <c r="Y129">
        <v>1</v>
      </c>
      <c r="Z129">
        <v>1</v>
      </c>
      <c r="AA129">
        <v>1</v>
      </c>
      <c r="AB129">
        <v>30</v>
      </c>
      <c r="AC129">
        <v>30</v>
      </c>
      <c r="AD129">
        <v>30</v>
      </c>
      <c r="AF129" s="3">
        <v>9</v>
      </c>
      <c r="AH129" s="10"/>
      <c r="AI129" s="2" t="s">
        <v>29</v>
      </c>
      <c r="AK129" s="1" t="s">
        <v>30</v>
      </c>
    </row>
    <row r="130" spans="1:37" x14ac:dyDescent="0.2">
      <c r="A130" s="3">
        <v>206</v>
      </c>
      <c r="C130" s="2">
        <v>29</v>
      </c>
      <c r="D130" s="2">
        <v>27</v>
      </c>
      <c r="E130" s="2">
        <v>30</v>
      </c>
      <c r="G130" s="16">
        <v>31.24</v>
      </c>
      <c r="H130" s="16">
        <v>32.79</v>
      </c>
      <c r="I130" s="16">
        <v>26.39</v>
      </c>
      <c r="L130">
        <v>5</v>
      </c>
      <c r="M130">
        <v>5</v>
      </c>
      <c r="N130">
        <v>5</v>
      </c>
      <c r="O130">
        <v>5</v>
      </c>
      <c r="P130">
        <v>5</v>
      </c>
      <c r="Q130">
        <v>5</v>
      </c>
      <c r="R130">
        <v>5</v>
      </c>
      <c r="S130">
        <v>5</v>
      </c>
      <c r="T130">
        <v>5</v>
      </c>
      <c r="V130">
        <v>5</v>
      </c>
      <c r="W130">
        <v>5</v>
      </c>
      <c r="X130">
        <v>5</v>
      </c>
      <c r="Y130">
        <v>5</v>
      </c>
      <c r="Z130">
        <v>5</v>
      </c>
      <c r="AA130">
        <v>5</v>
      </c>
      <c r="AB130">
        <v>5</v>
      </c>
      <c r="AC130">
        <v>5</v>
      </c>
      <c r="AD130">
        <v>-1</v>
      </c>
      <c r="AF130" s="3">
        <v>9</v>
      </c>
      <c r="AH130" s="10"/>
      <c r="AI130" s="2" t="s">
        <v>29</v>
      </c>
      <c r="AK130" s="1" t="s">
        <v>30</v>
      </c>
    </row>
    <row r="131" spans="1:37" x14ac:dyDescent="0.2">
      <c r="A131" s="3">
        <v>207</v>
      </c>
      <c r="C131" s="2">
        <v>45</v>
      </c>
      <c r="D131" s="2">
        <v>17</v>
      </c>
      <c r="E131" s="2">
        <v>14</v>
      </c>
      <c r="G131" s="16">
        <v>47.6</v>
      </c>
      <c r="H131" s="16">
        <v>22.16</v>
      </c>
      <c r="I131" s="16">
        <v>9.74</v>
      </c>
      <c r="L131">
        <v>5</v>
      </c>
      <c r="M131">
        <v>5</v>
      </c>
      <c r="N131">
        <v>5</v>
      </c>
      <c r="O131">
        <v>5</v>
      </c>
      <c r="P131">
        <v>7</v>
      </c>
      <c r="Q131">
        <v>7</v>
      </c>
      <c r="R131">
        <v>34</v>
      </c>
      <c r="S131">
        <v>5</v>
      </c>
      <c r="T131">
        <v>-1</v>
      </c>
      <c r="V131">
        <v>5</v>
      </c>
      <c r="W131">
        <v>5</v>
      </c>
      <c r="X131">
        <v>5</v>
      </c>
      <c r="Y131">
        <v>5</v>
      </c>
      <c r="Z131">
        <v>5</v>
      </c>
      <c r="AA131">
        <v>5</v>
      </c>
      <c r="AB131">
        <v>5</v>
      </c>
      <c r="AC131">
        <v>5</v>
      </c>
      <c r="AD131">
        <v>-1</v>
      </c>
      <c r="AF131" s="3">
        <v>9</v>
      </c>
      <c r="AH131" s="10"/>
      <c r="AI131" s="2" t="s">
        <v>29</v>
      </c>
      <c r="AK131" s="1" t="s">
        <v>30</v>
      </c>
    </row>
    <row r="132" spans="1:37" x14ac:dyDescent="0.2">
      <c r="A132" s="3">
        <v>208</v>
      </c>
      <c r="C132" s="2">
        <v>-34</v>
      </c>
      <c r="D132" s="2">
        <v>16</v>
      </c>
      <c r="E132" s="2">
        <v>3</v>
      </c>
      <c r="G132" s="16">
        <v>-35.44</v>
      </c>
      <c r="H132" s="16">
        <v>20.03</v>
      </c>
      <c r="I132" s="16">
        <v>7.0000000000000007E-2</v>
      </c>
      <c r="L132">
        <v>5</v>
      </c>
      <c r="M132">
        <v>5</v>
      </c>
      <c r="N132">
        <v>5</v>
      </c>
      <c r="O132">
        <v>5</v>
      </c>
      <c r="P132">
        <v>5</v>
      </c>
      <c r="Q132">
        <v>5</v>
      </c>
      <c r="R132">
        <v>5</v>
      </c>
      <c r="S132">
        <v>5</v>
      </c>
      <c r="T132">
        <v>5</v>
      </c>
      <c r="V132">
        <v>5</v>
      </c>
      <c r="W132">
        <v>5</v>
      </c>
      <c r="X132">
        <v>5</v>
      </c>
      <c r="Y132">
        <v>5</v>
      </c>
      <c r="Z132">
        <v>5</v>
      </c>
      <c r="AA132">
        <v>5</v>
      </c>
      <c r="AB132">
        <v>5</v>
      </c>
      <c r="AC132">
        <v>5</v>
      </c>
      <c r="AD132">
        <v>30</v>
      </c>
      <c r="AF132" s="3">
        <v>9</v>
      </c>
      <c r="AH132" s="10"/>
      <c r="AI132" s="2" t="s">
        <v>29</v>
      </c>
      <c r="AK132" s="1" t="s">
        <v>30</v>
      </c>
    </row>
    <row r="133" spans="1:37" x14ac:dyDescent="0.2">
      <c r="A133" s="3">
        <v>209</v>
      </c>
      <c r="C133" s="2">
        <v>34</v>
      </c>
      <c r="D133" s="2">
        <v>17</v>
      </c>
      <c r="E133" s="2">
        <v>7</v>
      </c>
      <c r="G133" s="16">
        <v>35.909999999999997</v>
      </c>
      <c r="H133" s="16">
        <v>21.91</v>
      </c>
      <c r="I133" s="16">
        <v>2.62</v>
      </c>
      <c r="L133">
        <v>5</v>
      </c>
      <c r="M133">
        <v>5</v>
      </c>
      <c r="N133">
        <v>5</v>
      </c>
      <c r="O133">
        <v>5</v>
      </c>
      <c r="P133">
        <v>5</v>
      </c>
      <c r="Q133">
        <v>5</v>
      </c>
      <c r="R133">
        <v>5</v>
      </c>
      <c r="S133">
        <v>5</v>
      </c>
      <c r="T133">
        <v>5</v>
      </c>
      <c r="V133">
        <v>5</v>
      </c>
      <c r="W133">
        <v>5</v>
      </c>
      <c r="X133">
        <v>5</v>
      </c>
      <c r="Y133">
        <v>5</v>
      </c>
      <c r="Z133">
        <v>5</v>
      </c>
      <c r="AA133">
        <v>5</v>
      </c>
      <c r="AB133">
        <v>5</v>
      </c>
      <c r="AC133">
        <v>5</v>
      </c>
      <c r="AD133">
        <v>30</v>
      </c>
      <c r="AF133" s="3">
        <v>9</v>
      </c>
      <c r="AH133" s="10"/>
      <c r="AI133" s="2" t="s">
        <v>29</v>
      </c>
      <c r="AK133" s="1" t="s">
        <v>30</v>
      </c>
    </row>
    <row r="134" spans="1:37" x14ac:dyDescent="0.2">
      <c r="A134" s="3">
        <v>210</v>
      </c>
      <c r="C134" s="2">
        <v>35</v>
      </c>
      <c r="D134" s="2">
        <v>27</v>
      </c>
      <c r="E134" s="2">
        <v>3</v>
      </c>
      <c r="G134" s="16">
        <v>36.89</v>
      </c>
      <c r="H134" s="16">
        <v>32.35</v>
      </c>
      <c r="I134" s="16">
        <v>-2.2400000000000002</v>
      </c>
      <c r="L134">
        <v>5</v>
      </c>
      <c r="M134">
        <v>5</v>
      </c>
      <c r="N134">
        <v>5</v>
      </c>
      <c r="O134">
        <v>5</v>
      </c>
      <c r="P134">
        <v>5</v>
      </c>
      <c r="Q134">
        <v>5</v>
      </c>
      <c r="R134">
        <v>5</v>
      </c>
      <c r="S134">
        <v>5</v>
      </c>
      <c r="T134">
        <v>5</v>
      </c>
      <c r="V134">
        <v>5</v>
      </c>
      <c r="W134">
        <v>5</v>
      </c>
      <c r="X134">
        <v>5</v>
      </c>
      <c r="Y134">
        <v>5</v>
      </c>
      <c r="Z134">
        <v>5</v>
      </c>
      <c r="AA134">
        <v>1</v>
      </c>
      <c r="AB134">
        <v>30</v>
      </c>
      <c r="AC134">
        <v>30</v>
      </c>
      <c r="AD134">
        <v>30</v>
      </c>
      <c r="AF134" s="3">
        <v>9</v>
      </c>
      <c r="AH134" s="10"/>
      <c r="AI134" s="2" t="s">
        <v>29</v>
      </c>
      <c r="AK134" s="1" t="s">
        <v>30</v>
      </c>
    </row>
    <row r="135" spans="1:37" x14ac:dyDescent="0.2">
      <c r="A135" s="3">
        <v>211</v>
      </c>
      <c r="C135" s="2">
        <v>32</v>
      </c>
      <c r="D135" s="2">
        <v>12</v>
      </c>
      <c r="E135" s="2">
        <v>-3</v>
      </c>
      <c r="G135" s="16">
        <v>33.56</v>
      </c>
      <c r="H135" s="16">
        <v>16.45</v>
      </c>
      <c r="I135" s="16">
        <v>-7.58</v>
      </c>
      <c r="L135">
        <v>5</v>
      </c>
      <c r="M135">
        <v>5</v>
      </c>
      <c r="N135">
        <v>5</v>
      </c>
      <c r="O135">
        <v>5</v>
      </c>
      <c r="P135">
        <v>5</v>
      </c>
      <c r="Q135">
        <v>5</v>
      </c>
      <c r="R135">
        <v>5</v>
      </c>
      <c r="S135">
        <v>5</v>
      </c>
      <c r="T135">
        <v>5</v>
      </c>
      <c r="V135">
        <v>5</v>
      </c>
      <c r="W135">
        <v>5</v>
      </c>
      <c r="X135">
        <v>5</v>
      </c>
      <c r="Y135">
        <v>5</v>
      </c>
      <c r="Z135">
        <v>5</v>
      </c>
      <c r="AA135">
        <v>5</v>
      </c>
      <c r="AB135">
        <v>5</v>
      </c>
      <c r="AC135">
        <v>5</v>
      </c>
      <c r="AD135">
        <v>30</v>
      </c>
      <c r="AF135" s="3">
        <v>9</v>
      </c>
      <c r="AH135" s="10"/>
      <c r="AI135" s="2" t="s">
        <v>29</v>
      </c>
      <c r="AK135" s="1" t="s">
        <v>30</v>
      </c>
    </row>
    <row r="136" spans="1:37" x14ac:dyDescent="0.2">
      <c r="A136" s="3">
        <v>212</v>
      </c>
      <c r="C136" s="2">
        <v>-11</v>
      </c>
      <c r="D136" s="2">
        <v>21</v>
      </c>
      <c r="E136" s="2">
        <v>27</v>
      </c>
      <c r="G136" s="16">
        <v>-10.76</v>
      </c>
      <c r="H136" s="16">
        <v>25.99</v>
      </c>
      <c r="I136" s="16">
        <v>24.54</v>
      </c>
      <c r="L136">
        <v>5</v>
      </c>
      <c r="M136">
        <v>5</v>
      </c>
      <c r="N136">
        <v>5</v>
      </c>
      <c r="O136">
        <v>5</v>
      </c>
      <c r="P136">
        <v>5</v>
      </c>
      <c r="Q136">
        <v>5</v>
      </c>
      <c r="R136">
        <v>5</v>
      </c>
      <c r="S136">
        <v>5</v>
      </c>
      <c r="T136">
        <v>5</v>
      </c>
      <c r="V136">
        <v>5</v>
      </c>
      <c r="W136">
        <v>5</v>
      </c>
      <c r="X136">
        <v>5</v>
      </c>
      <c r="Y136">
        <v>5</v>
      </c>
      <c r="Z136">
        <v>5</v>
      </c>
      <c r="AA136">
        <v>5</v>
      </c>
      <c r="AB136">
        <v>5</v>
      </c>
      <c r="AC136">
        <v>5</v>
      </c>
      <c r="AD136">
        <v>5</v>
      </c>
      <c r="AF136" s="3">
        <v>9</v>
      </c>
      <c r="AH136" s="10"/>
      <c r="AI136" s="2" t="s">
        <v>29</v>
      </c>
      <c r="AK136" s="1" t="s">
        <v>30</v>
      </c>
    </row>
    <row r="137" spans="1:37" x14ac:dyDescent="0.2">
      <c r="A137" s="3">
        <v>213</v>
      </c>
      <c r="C137" s="2">
        <v>-2</v>
      </c>
      <c r="D137" s="2">
        <v>10</v>
      </c>
      <c r="E137" s="2">
        <v>45</v>
      </c>
      <c r="G137" s="16">
        <v>-0.94</v>
      </c>
      <c r="H137" s="16">
        <v>14.86</v>
      </c>
      <c r="I137" s="16">
        <v>43.99</v>
      </c>
      <c r="L137">
        <v>5</v>
      </c>
      <c r="M137">
        <v>5</v>
      </c>
      <c r="N137">
        <v>5</v>
      </c>
      <c r="O137">
        <v>5</v>
      </c>
      <c r="P137">
        <v>5</v>
      </c>
      <c r="Q137">
        <v>5</v>
      </c>
      <c r="R137">
        <v>5</v>
      </c>
      <c r="S137">
        <v>5</v>
      </c>
      <c r="T137">
        <v>5</v>
      </c>
      <c r="V137">
        <v>5</v>
      </c>
      <c r="W137">
        <v>5</v>
      </c>
      <c r="X137">
        <v>5</v>
      </c>
      <c r="Y137">
        <v>5</v>
      </c>
      <c r="Z137">
        <v>5</v>
      </c>
      <c r="AA137">
        <v>5</v>
      </c>
      <c r="AB137">
        <v>5</v>
      </c>
      <c r="AC137">
        <v>5</v>
      </c>
      <c r="AD137">
        <v>30</v>
      </c>
      <c r="AF137" s="3">
        <v>9</v>
      </c>
      <c r="AH137" s="10"/>
      <c r="AI137" s="2" t="s">
        <v>29</v>
      </c>
      <c r="AK137" s="1" t="s">
        <v>30</v>
      </c>
    </row>
    <row r="138" spans="1:37" x14ac:dyDescent="0.2">
      <c r="A138" s="3">
        <v>214</v>
      </c>
      <c r="C138" s="2">
        <v>-27</v>
      </c>
      <c r="D138" s="2">
        <v>46</v>
      </c>
      <c r="E138" s="2">
        <v>25</v>
      </c>
      <c r="G138" s="16">
        <v>-27.5</v>
      </c>
      <c r="H138" s="16">
        <v>52.04</v>
      </c>
      <c r="I138" s="16">
        <v>21.28</v>
      </c>
      <c r="L138">
        <v>5</v>
      </c>
      <c r="M138">
        <v>5</v>
      </c>
      <c r="N138">
        <v>5</v>
      </c>
      <c r="O138">
        <v>5</v>
      </c>
      <c r="P138">
        <v>5</v>
      </c>
      <c r="Q138">
        <v>5</v>
      </c>
      <c r="R138">
        <v>5</v>
      </c>
      <c r="S138">
        <v>5</v>
      </c>
      <c r="T138">
        <v>5</v>
      </c>
      <c r="V138">
        <v>5</v>
      </c>
      <c r="W138">
        <v>5</v>
      </c>
      <c r="X138">
        <v>5</v>
      </c>
      <c r="Y138">
        <v>5</v>
      </c>
      <c r="Z138">
        <v>5</v>
      </c>
      <c r="AA138">
        <v>5</v>
      </c>
      <c r="AB138">
        <v>5</v>
      </c>
      <c r="AC138">
        <v>5</v>
      </c>
      <c r="AD138">
        <v>5</v>
      </c>
      <c r="AF138" s="3">
        <v>9</v>
      </c>
      <c r="AH138" s="10"/>
      <c r="AI138" s="2" t="s">
        <v>29</v>
      </c>
      <c r="AK138" s="1" t="s">
        <v>30</v>
      </c>
    </row>
    <row r="139" spans="1:37" x14ac:dyDescent="0.2">
      <c r="A139" s="3">
        <v>215</v>
      </c>
      <c r="C139" s="2">
        <v>-1</v>
      </c>
      <c r="D139" s="2">
        <v>25</v>
      </c>
      <c r="E139" s="2">
        <v>30</v>
      </c>
      <c r="G139" s="16">
        <v>-0.2</v>
      </c>
      <c r="H139" s="16">
        <v>30.35</v>
      </c>
      <c r="I139" s="16">
        <v>27.22</v>
      </c>
      <c r="L139">
        <v>5</v>
      </c>
      <c r="M139">
        <v>5</v>
      </c>
      <c r="N139">
        <v>5</v>
      </c>
      <c r="O139">
        <v>5</v>
      </c>
      <c r="P139">
        <v>5</v>
      </c>
      <c r="Q139">
        <v>5</v>
      </c>
      <c r="R139">
        <v>5</v>
      </c>
      <c r="S139">
        <v>5</v>
      </c>
      <c r="T139">
        <v>5</v>
      </c>
      <c r="V139">
        <v>5</v>
      </c>
      <c r="W139">
        <v>5</v>
      </c>
      <c r="X139">
        <v>5</v>
      </c>
      <c r="Y139">
        <v>5</v>
      </c>
      <c r="Z139">
        <v>5</v>
      </c>
      <c r="AA139">
        <v>5</v>
      </c>
      <c r="AB139">
        <v>5</v>
      </c>
      <c r="AC139">
        <v>5</v>
      </c>
      <c r="AD139">
        <v>5</v>
      </c>
      <c r="AF139" s="3">
        <v>9</v>
      </c>
      <c r="AH139" s="10"/>
      <c r="AI139" s="2" t="s">
        <v>29</v>
      </c>
      <c r="AK139" s="1" t="s">
        <v>30</v>
      </c>
    </row>
    <row r="140" spans="1:37" x14ac:dyDescent="0.2">
      <c r="A140" s="3">
        <v>216</v>
      </c>
      <c r="C140" s="2">
        <v>4</v>
      </c>
      <c r="D140" s="2">
        <v>18</v>
      </c>
      <c r="E140" s="2">
        <v>39</v>
      </c>
      <c r="G140" s="16">
        <v>5.23</v>
      </c>
      <c r="H140" s="16">
        <v>23.22</v>
      </c>
      <c r="I140" s="16">
        <v>37.03</v>
      </c>
      <c r="L140">
        <v>5</v>
      </c>
      <c r="M140">
        <v>5</v>
      </c>
      <c r="N140">
        <v>5</v>
      </c>
      <c r="O140">
        <v>5</v>
      </c>
      <c r="P140">
        <v>5</v>
      </c>
      <c r="Q140">
        <v>5</v>
      </c>
      <c r="R140">
        <v>5</v>
      </c>
      <c r="S140">
        <v>5</v>
      </c>
      <c r="T140">
        <v>5</v>
      </c>
      <c r="V140">
        <v>5</v>
      </c>
      <c r="W140">
        <v>5</v>
      </c>
      <c r="X140">
        <v>5</v>
      </c>
      <c r="Y140">
        <v>5</v>
      </c>
      <c r="Z140">
        <v>5</v>
      </c>
      <c r="AA140">
        <v>5</v>
      </c>
      <c r="AB140">
        <v>5</v>
      </c>
      <c r="AC140">
        <v>5</v>
      </c>
      <c r="AD140">
        <v>5</v>
      </c>
      <c r="AF140" s="3">
        <v>9</v>
      </c>
      <c r="AH140" s="10"/>
      <c r="AI140" s="2" t="s">
        <v>29</v>
      </c>
      <c r="AK140" s="1" t="s">
        <v>30</v>
      </c>
    </row>
    <row r="141" spans="1:37" x14ac:dyDescent="0.2">
      <c r="A141" s="3">
        <v>217</v>
      </c>
      <c r="C141" s="2">
        <v>9</v>
      </c>
      <c r="D141" s="2">
        <v>17</v>
      </c>
      <c r="E141" s="2">
        <v>30</v>
      </c>
      <c r="G141" s="16">
        <v>10.26</v>
      </c>
      <c r="H141" s="16">
        <v>22.06</v>
      </c>
      <c r="I141" s="16">
        <v>27.48</v>
      </c>
      <c r="L141">
        <v>5</v>
      </c>
      <c r="M141">
        <v>5</v>
      </c>
      <c r="N141">
        <v>5</v>
      </c>
      <c r="O141">
        <v>5</v>
      </c>
      <c r="P141">
        <v>5</v>
      </c>
      <c r="Q141">
        <v>5</v>
      </c>
      <c r="R141">
        <v>5</v>
      </c>
      <c r="S141">
        <v>5</v>
      </c>
      <c r="T141">
        <v>5</v>
      </c>
      <c r="V141">
        <v>5</v>
      </c>
      <c r="W141">
        <v>5</v>
      </c>
      <c r="X141">
        <v>5</v>
      </c>
      <c r="Y141">
        <v>5</v>
      </c>
      <c r="Z141">
        <v>5</v>
      </c>
      <c r="AA141">
        <v>5</v>
      </c>
      <c r="AB141">
        <v>5</v>
      </c>
      <c r="AC141">
        <v>5</v>
      </c>
      <c r="AD141">
        <v>5</v>
      </c>
      <c r="AF141" s="3">
        <v>9</v>
      </c>
      <c r="AH141" s="10"/>
      <c r="AI141" s="2" t="s">
        <v>29</v>
      </c>
      <c r="AK141" s="1" t="s">
        <v>30</v>
      </c>
    </row>
    <row r="142" spans="1:37" x14ac:dyDescent="0.2">
      <c r="A142" s="3">
        <v>218</v>
      </c>
      <c r="C142" s="2">
        <v>29</v>
      </c>
      <c r="D142" s="2">
        <v>49</v>
      </c>
      <c r="E142" s="2">
        <v>20</v>
      </c>
      <c r="G142" s="16">
        <v>31.07</v>
      </c>
      <c r="H142" s="16">
        <v>55.71</v>
      </c>
      <c r="I142" s="16">
        <v>14.49</v>
      </c>
      <c r="L142">
        <v>5</v>
      </c>
      <c r="M142">
        <v>5</v>
      </c>
      <c r="N142">
        <v>5</v>
      </c>
      <c r="O142">
        <v>5</v>
      </c>
      <c r="P142">
        <v>5</v>
      </c>
      <c r="Q142">
        <v>5</v>
      </c>
      <c r="R142">
        <v>5</v>
      </c>
      <c r="S142">
        <v>5</v>
      </c>
      <c r="T142">
        <v>5</v>
      </c>
      <c r="V142">
        <v>5</v>
      </c>
      <c r="W142">
        <v>5</v>
      </c>
      <c r="X142">
        <v>5</v>
      </c>
      <c r="Y142">
        <v>5</v>
      </c>
      <c r="Z142">
        <v>5</v>
      </c>
      <c r="AA142">
        <v>5</v>
      </c>
      <c r="AB142">
        <v>4</v>
      </c>
      <c r="AC142">
        <v>5</v>
      </c>
      <c r="AD142">
        <v>5</v>
      </c>
      <c r="AF142" s="3">
        <v>9</v>
      </c>
      <c r="AH142" s="10"/>
      <c r="AI142" s="2" t="s">
        <v>29</v>
      </c>
      <c r="AK142" s="1" t="s">
        <v>30</v>
      </c>
    </row>
    <row r="143" spans="1:37" x14ac:dyDescent="0.2">
      <c r="A143" s="3">
        <v>219</v>
      </c>
      <c r="C143" s="2">
        <v>24</v>
      </c>
      <c r="D143" s="2">
        <v>43</v>
      </c>
      <c r="E143" s="2">
        <v>31</v>
      </c>
      <c r="G143" s="16">
        <v>26.07</v>
      </c>
      <c r="H143" s="16">
        <v>49.56</v>
      </c>
      <c r="I143" s="16">
        <v>26.58</v>
      </c>
      <c r="L143">
        <v>5</v>
      </c>
      <c r="M143">
        <v>5</v>
      </c>
      <c r="N143">
        <v>5</v>
      </c>
      <c r="O143">
        <v>5</v>
      </c>
      <c r="P143">
        <v>5</v>
      </c>
      <c r="Q143">
        <v>5</v>
      </c>
      <c r="R143">
        <v>5</v>
      </c>
      <c r="S143">
        <v>5</v>
      </c>
      <c r="T143">
        <v>5</v>
      </c>
      <c r="V143">
        <v>5</v>
      </c>
      <c r="W143">
        <v>5</v>
      </c>
      <c r="X143">
        <v>5</v>
      </c>
      <c r="Y143">
        <v>5</v>
      </c>
      <c r="Z143">
        <v>5</v>
      </c>
      <c r="AA143">
        <v>5</v>
      </c>
      <c r="AB143">
        <v>5</v>
      </c>
      <c r="AC143">
        <v>5</v>
      </c>
      <c r="AD143">
        <v>5</v>
      </c>
      <c r="AF143" s="3">
        <v>9</v>
      </c>
      <c r="AH143" s="10"/>
      <c r="AI143" s="2" t="s">
        <v>29</v>
      </c>
      <c r="AK143" s="1" t="s">
        <v>30</v>
      </c>
    </row>
    <row r="144" spans="1:37" x14ac:dyDescent="0.2">
      <c r="A144" s="3">
        <v>220</v>
      </c>
      <c r="C144" s="2">
        <v>-38</v>
      </c>
      <c r="D144" s="2">
        <v>45</v>
      </c>
      <c r="E144" s="2">
        <v>21</v>
      </c>
      <c r="G144" s="16">
        <v>-39.119999999999997</v>
      </c>
      <c r="H144" s="16">
        <v>50.79</v>
      </c>
      <c r="I144" s="16">
        <v>17.38</v>
      </c>
      <c r="L144">
        <v>5</v>
      </c>
      <c r="M144">
        <v>5</v>
      </c>
      <c r="N144">
        <v>5</v>
      </c>
      <c r="O144">
        <v>5</v>
      </c>
      <c r="P144">
        <v>5</v>
      </c>
      <c r="Q144">
        <v>5</v>
      </c>
      <c r="R144">
        <v>5</v>
      </c>
      <c r="S144">
        <v>5</v>
      </c>
      <c r="T144">
        <v>5</v>
      </c>
      <c r="V144">
        <v>5</v>
      </c>
      <c r="W144">
        <v>5</v>
      </c>
      <c r="X144">
        <v>5</v>
      </c>
      <c r="Y144">
        <v>5</v>
      </c>
      <c r="Z144">
        <v>5</v>
      </c>
      <c r="AA144">
        <v>5</v>
      </c>
      <c r="AB144">
        <v>4</v>
      </c>
      <c r="AC144">
        <v>5</v>
      </c>
      <c r="AD144">
        <v>5</v>
      </c>
      <c r="AF144" s="3">
        <v>9</v>
      </c>
      <c r="AH144" s="10"/>
      <c r="AI144" s="2" t="s">
        <v>29</v>
      </c>
      <c r="AK144" s="1" t="s">
        <v>30</v>
      </c>
    </row>
    <row r="145" spans="1:37" x14ac:dyDescent="0.2">
      <c r="A145" s="3">
        <v>221</v>
      </c>
      <c r="C145" s="2">
        <v>1</v>
      </c>
      <c r="D145" s="2">
        <v>-27</v>
      </c>
      <c r="E145" s="2">
        <v>30</v>
      </c>
      <c r="G145" s="16">
        <v>1.75</v>
      </c>
      <c r="H145" s="16">
        <v>-24.25</v>
      </c>
      <c r="I145" s="16">
        <v>30.36</v>
      </c>
      <c r="L145">
        <v>5</v>
      </c>
      <c r="M145">
        <v>5</v>
      </c>
      <c r="N145">
        <v>5</v>
      </c>
      <c r="O145">
        <v>5</v>
      </c>
      <c r="P145">
        <v>24</v>
      </c>
      <c r="Q145">
        <v>24</v>
      </c>
      <c r="R145">
        <v>24</v>
      </c>
      <c r="S145">
        <v>24</v>
      </c>
      <c r="T145">
        <v>24</v>
      </c>
      <c r="V145">
        <v>5</v>
      </c>
      <c r="W145">
        <v>5</v>
      </c>
      <c r="X145">
        <v>5</v>
      </c>
      <c r="Y145">
        <v>5</v>
      </c>
      <c r="Z145">
        <v>2</v>
      </c>
      <c r="AA145">
        <v>2</v>
      </c>
      <c r="AB145">
        <v>2</v>
      </c>
      <c r="AC145">
        <v>39</v>
      </c>
      <c r="AD145">
        <v>39</v>
      </c>
      <c r="AF145" s="3">
        <v>6</v>
      </c>
      <c r="AH145" s="8"/>
      <c r="AI145" s="2" t="s">
        <v>22</v>
      </c>
      <c r="AK145" s="1" t="s">
        <v>23</v>
      </c>
    </row>
    <row r="146" spans="1:37" s="19" customFormat="1" x14ac:dyDescent="0.2">
      <c r="A146" s="17">
        <v>222</v>
      </c>
      <c r="B146" s="17"/>
      <c r="C146" s="17">
        <v>6</v>
      </c>
      <c r="D146" s="17">
        <v>-26</v>
      </c>
      <c r="E146" s="17">
        <v>1</v>
      </c>
      <c r="F146" s="17"/>
      <c r="G146" s="18">
        <v>6.3</v>
      </c>
      <c r="H146" s="18">
        <v>-23.68</v>
      </c>
      <c r="I146" s="18">
        <v>-0.42</v>
      </c>
      <c r="J146" s="17"/>
      <c r="L146" s="19">
        <v>6</v>
      </c>
      <c r="M146" s="19">
        <v>6</v>
      </c>
      <c r="N146" s="19">
        <v>6</v>
      </c>
      <c r="O146" s="19">
        <v>6</v>
      </c>
      <c r="P146" s="19">
        <v>6</v>
      </c>
      <c r="Q146" s="19">
        <v>6</v>
      </c>
      <c r="R146" s="19">
        <v>-1</v>
      </c>
      <c r="S146" s="19">
        <v>-1</v>
      </c>
      <c r="T146" s="19">
        <v>-1</v>
      </c>
      <c r="V146" s="19">
        <v>6</v>
      </c>
      <c r="W146" s="19">
        <v>6</v>
      </c>
      <c r="X146" s="19">
        <v>6</v>
      </c>
      <c r="Y146" s="19">
        <v>6</v>
      </c>
      <c r="Z146" s="19">
        <v>-1</v>
      </c>
      <c r="AA146" s="19">
        <v>-1</v>
      </c>
      <c r="AB146" s="19">
        <v>-1</v>
      </c>
      <c r="AC146" s="19">
        <v>-1</v>
      </c>
      <c r="AD146" s="19">
        <v>-1</v>
      </c>
      <c r="AF146" s="17">
        <v>10</v>
      </c>
      <c r="AI146" s="17" t="s">
        <v>31</v>
      </c>
      <c r="AK146" s="20" t="s">
        <v>32</v>
      </c>
    </row>
    <row r="147" spans="1:37" s="19" customFormat="1" x14ac:dyDescent="0.2">
      <c r="A147" s="17">
        <v>223</v>
      </c>
      <c r="B147" s="17"/>
      <c r="C147" s="17">
        <v>-2</v>
      </c>
      <c r="D147" s="17">
        <v>-16</v>
      </c>
      <c r="E147" s="17">
        <v>13</v>
      </c>
      <c r="F147" s="17"/>
      <c r="G147" s="18">
        <v>-1.77</v>
      </c>
      <c r="H147" s="18">
        <v>-13.05</v>
      </c>
      <c r="I147" s="18">
        <v>11.82</v>
      </c>
      <c r="J147" s="17"/>
      <c r="L147" s="19">
        <v>6</v>
      </c>
      <c r="M147" s="19">
        <v>6</v>
      </c>
      <c r="N147" s="19">
        <v>6</v>
      </c>
      <c r="O147" s="19">
        <v>6</v>
      </c>
      <c r="P147" s="19">
        <v>6</v>
      </c>
      <c r="Q147" s="19">
        <v>6</v>
      </c>
      <c r="R147" s="19">
        <v>-1</v>
      </c>
      <c r="S147" s="19">
        <v>-1</v>
      </c>
      <c r="T147" s="19">
        <v>-1</v>
      </c>
      <c r="V147" s="19">
        <v>2</v>
      </c>
      <c r="W147" s="19">
        <v>2</v>
      </c>
      <c r="X147" s="19">
        <v>2</v>
      </c>
      <c r="Y147" s="19">
        <v>2</v>
      </c>
      <c r="Z147" s="19">
        <v>-1</v>
      </c>
      <c r="AA147" s="19">
        <v>-1</v>
      </c>
      <c r="AB147" s="19">
        <v>-1</v>
      </c>
      <c r="AC147" s="19">
        <v>-1</v>
      </c>
      <c r="AD147" s="19">
        <v>-1</v>
      </c>
      <c r="AF147" s="17">
        <v>10</v>
      </c>
      <c r="AI147" s="17" t="s">
        <v>31</v>
      </c>
      <c r="AK147" s="20" t="s">
        <v>32</v>
      </c>
    </row>
    <row r="148" spans="1:37" s="19" customFormat="1" x14ac:dyDescent="0.2">
      <c r="A148" s="17">
        <v>224</v>
      </c>
      <c r="B148" s="17"/>
      <c r="C148" s="17">
        <v>-10</v>
      </c>
      <c r="D148" s="17">
        <v>-21</v>
      </c>
      <c r="E148" s="17">
        <v>8</v>
      </c>
      <c r="F148" s="17"/>
      <c r="G148" s="18">
        <v>-10.28</v>
      </c>
      <c r="H148" s="18">
        <v>-18.48</v>
      </c>
      <c r="I148" s="18">
        <v>7.04</v>
      </c>
      <c r="J148" s="17"/>
      <c r="L148" s="19">
        <v>6</v>
      </c>
      <c r="M148" s="19">
        <v>6</v>
      </c>
      <c r="N148" s="19">
        <v>6</v>
      </c>
      <c r="O148" s="19">
        <v>6</v>
      </c>
      <c r="P148" s="19">
        <v>6</v>
      </c>
      <c r="Q148" s="19">
        <v>6</v>
      </c>
      <c r="R148" s="19">
        <v>6</v>
      </c>
      <c r="S148" s="19">
        <v>6</v>
      </c>
      <c r="T148" s="19">
        <v>-1</v>
      </c>
      <c r="V148" s="19">
        <v>6</v>
      </c>
      <c r="W148" s="19">
        <v>6</v>
      </c>
      <c r="X148" s="19">
        <v>6</v>
      </c>
      <c r="Y148" s="19">
        <v>6</v>
      </c>
      <c r="Z148" s="19">
        <v>6</v>
      </c>
      <c r="AA148" s="19">
        <v>6</v>
      </c>
      <c r="AB148" s="19">
        <v>-1</v>
      </c>
      <c r="AC148" s="19">
        <v>32</v>
      </c>
      <c r="AD148" s="19">
        <v>-1</v>
      </c>
      <c r="AF148" s="17">
        <v>10</v>
      </c>
      <c r="AI148" s="17" t="s">
        <v>31</v>
      </c>
      <c r="AK148" s="20" t="s">
        <v>32</v>
      </c>
    </row>
    <row r="149" spans="1:37" s="19" customFormat="1" x14ac:dyDescent="0.2">
      <c r="A149" s="17">
        <v>225</v>
      </c>
      <c r="B149" s="17"/>
      <c r="C149" s="17">
        <v>11</v>
      </c>
      <c r="D149" s="17">
        <v>-20</v>
      </c>
      <c r="E149" s="17">
        <v>9</v>
      </c>
      <c r="F149" s="17"/>
      <c r="G149" s="18">
        <v>11.75</v>
      </c>
      <c r="H149" s="18">
        <v>-17.18</v>
      </c>
      <c r="I149" s="18">
        <v>7.54</v>
      </c>
      <c r="J149" s="17"/>
      <c r="L149" s="19">
        <v>6</v>
      </c>
      <c r="M149" s="19">
        <v>6</v>
      </c>
      <c r="N149" s="19">
        <v>6</v>
      </c>
      <c r="O149" s="19">
        <v>6</v>
      </c>
      <c r="P149" s="19">
        <v>6</v>
      </c>
      <c r="Q149" s="19">
        <v>6</v>
      </c>
      <c r="R149" s="19">
        <v>6</v>
      </c>
      <c r="S149" s="19">
        <v>6</v>
      </c>
      <c r="T149" s="19">
        <v>-1</v>
      </c>
      <c r="V149" s="19">
        <v>6</v>
      </c>
      <c r="W149" s="19">
        <v>6</v>
      </c>
      <c r="X149" s="19">
        <v>6</v>
      </c>
      <c r="Y149" s="19">
        <v>6</v>
      </c>
      <c r="Z149" s="19">
        <v>6</v>
      </c>
      <c r="AA149" s="19">
        <v>6</v>
      </c>
      <c r="AB149" s="19">
        <v>-1</v>
      </c>
      <c r="AC149" s="19">
        <v>32</v>
      </c>
      <c r="AD149" s="19">
        <v>-1</v>
      </c>
      <c r="AF149" s="17">
        <v>10</v>
      </c>
      <c r="AI149" s="17" t="s">
        <v>31</v>
      </c>
      <c r="AK149" s="20" t="s">
        <v>32</v>
      </c>
    </row>
    <row r="150" spans="1:37" s="19" customFormat="1" x14ac:dyDescent="0.2">
      <c r="A150" s="17">
        <v>226</v>
      </c>
      <c r="B150" s="17"/>
      <c r="C150" s="17">
        <v>-5</v>
      </c>
      <c r="D150" s="17">
        <v>-30</v>
      </c>
      <c r="E150" s="17">
        <v>-3</v>
      </c>
      <c r="F150" s="17"/>
      <c r="G150" s="18">
        <v>-5.33</v>
      </c>
      <c r="H150" s="18">
        <v>-28.08</v>
      </c>
      <c r="I150" s="18">
        <v>-4.13</v>
      </c>
      <c r="J150" s="17"/>
      <c r="L150" s="19">
        <v>6</v>
      </c>
      <c r="M150" s="19">
        <v>6</v>
      </c>
      <c r="N150" s="19">
        <v>6</v>
      </c>
      <c r="O150" s="19">
        <v>6</v>
      </c>
      <c r="P150" s="19">
        <v>6</v>
      </c>
      <c r="Q150" s="19">
        <v>6</v>
      </c>
      <c r="R150" s="19">
        <v>6</v>
      </c>
      <c r="S150" s="19">
        <v>-1</v>
      </c>
      <c r="T150" s="19">
        <v>-1</v>
      </c>
      <c r="V150" s="19">
        <v>8</v>
      </c>
      <c r="W150" s="19">
        <v>6</v>
      </c>
      <c r="X150" s="19">
        <v>6</v>
      </c>
      <c r="Y150" s="19">
        <v>6</v>
      </c>
      <c r="Z150" s="19">
        <v>-1</v>
      </c>
      <c r="AA150" s="19">
        <v>-1</v>
      </c>
      <c r="AB150" s="19">
        <v>-1</v>
      </c>
      <c r="AC150" s="19">
        <v>-1</v>
      </c>
      <c r="AD150" s="19">
        <v>-1</v>
      </c>
      <c r="AF150" s="17">
        <v>10</v>
      </c>
      <c r="AI150" s="17" t="s">
        <v>31</v>
      </c>
      <c r="AK150" s="20" t="s">
        <v>32</v>
      </c>
    </row>
    <row r="151" spans="1:37" s="19" customFormat="1" x14ac:dyDescent="0.2">
      <c r="A151" s="17">
        <v>227</v>
      </c>
      <c r="B151" s="17"/>
      <c r="C151" s="17">
        <v>-21</v>
      </c>
      <c r="D151" s="17">
        <v>4</v>
      </c>
      <c r="E151" s="17">
        <v>-2</v>
      </c>
      <c r="F151" s="17"/>
      <c r="G151" s="18">
        <v>-21.97</v>
      </c>
      <c r="H151" s="18">
        <v>7.48</v>
      </c>
      <c r="I151" s="18">
        <v>-4.78</v>
      </c>
      <c r="J151" s="17"/>
      <c r="L151" s="19">
        <v>6</v>
      </c>
      <c r="M151" s="19">
        <v>6</v>
      </c>
      <c r="N151" s="19">
        <v>6</v>
      </c>
      <c r="O151" s="19">
        <v>6</v>
      </c>
      <c r="P151" s="19">
        <v>6</v>
      </c>
      <c r="Q151" s="19">
        <v>6</v>
      </c>
      <c r="R151" s="19">
        <v>6</v>
      </c>
      <c r="S151" s="19">
        <v>6</v>
      </c>
      <c r="T151" s="19">
        <v>6</v>
      </c>
      <c r="V151" s="19">
        <v>6</v>
      </c>
      <c r="W151" s="19">
        <v>6</v>
      </c>
      <c r="X151" s="19">
        <v>6</v>
      </c>
      <c r="Y151" s="19">
        <v>6</v>
      </c>
      <c r="Z151" s="19">
        <v>6</v>
      </c>
      <c r="AA151" s="19">
        <v>6</v>
      </c>
      <c r="AB151" s="19">
        <v>6</v>
      </c>
      <c r="AC151" s="19">
        <v>6</v>
      </c>
      <c r="AD151" s="19">
        <v>6</v>
      </c>
      <c r="AF151" s="17">
        <v>10</v>
      </c>
      <c r="AI151" s="17" t="s">
        <v>31</v>
      </c>
      <c r="AK151" s="20" t="s">
        <v>32</v>
      </c>
    </row>
    <row r="152" spans="1:37" s="19" customFormat="1" x14ac:dyDescent="0.2">
      <c r="A152" s="17">
        <v>228</v>
      </c>
      <c r="B152" s="17"/>
      <c r="C152" s="17">
        <v>-15</v>
      </c>
      <c r="D152" s="17">
        <v>0</v>
      </c>
      <c r="E152" s="17">
        <v>10</v>
      </c>
      <c r="F152" s="17"/>
      <c r="G152" s="18">
        <v>-15.41</v>
      </c>
      <c r="H152" s="18">
        <v>3.57</v>
      </c>
      <c r="I152" s="18">
        <v>7.99</v>
      </c>
      <c r="J152" s="17"/>
      <c r="L152" s="19">
        <v>6</v>
      </c>
      <c r="M152" s="19">
        <v>6</v>
      </c>
      <c r="N152" s="19">
        <v>6</v>
      </c>
      <c r="O152" s="19">
        <v>6</v>
      </c>
      <c r="P152" s="19">
        <v>6</v>
      </c>
      <c r="Q152" s="19">
        <v>6</v>
      </c>
      <c r="R152" s="19">
        <v>6</v>
      </c>
      <c r="S152" s="19">
        <v>6</v>
      </c>
      <c r="T152" s="19">
        <v>6</v>
      </c>
      <c r="V152" s="19">
        <v>6</v>
      </c>
      <c r="W152" s="19">
        <v>6</v>
      </c>
      <c r="X152" s="19">
        <v>6</v>
      </c>
      <c r="Y152" s="19">
        <v>6</v>
      </c>
      <c r="Z152" s="19">
        <v>6</v>
      </c>
      <c r="AA152" s="19">
        <v>6</v>
      </c>
      <c r="AB152" s="19">
        <v>6</v>
      </c>
      <c r="AC152" s="19">
        <v>6</v>
      </c>
      <c r="AD152" s="19">
        <v>6</v>
      </c>
      <c r="AF152" s="17">
        <v>10</v>
      </c>
      <c r="AI152" s="17" t="s">
        <v>31</v>
      </c>
      <c r="AK152" s="20" t="s">
        <v>32</v>
      </c>
    </row>
    <row r="153" spans="1:37" s="19" customFormat="1" x14ac:dyDescent="0.2">
      <c r="A153" s="17">
        <v>229</v>
      </c>
      <c r="B153" s="17"/>
      <c r="C153" s="17">
        <v>29</v>
      </c>
      <c r="D153" s="17">
        <v>-17</v>
      </c>
      <c r="E153" s="17">
        <v>4</v>
      </c>
      <c r="F153" s="17"/>
      <c r="G153" s="18">
        <v>30.5</v>
      </c>
      <c r="H153" s="18">
        <v>-13.92</v>
      </c>
      <c r="I153" s="18">
        <v>1.65</v>
      </c>
      <c r="J153" s="17"/>
      <c r="L153" s="19">
        <v>6</v>
      </c>
      <c r="M153" s="19">
        <v>6</v>
      </c>
      <c r="N153" s="19">
        <v>6</v>
      </c>
      <c r="O153" s="19">
        <v>6</v>
      </c>
      <c r="P153" s="19">
        <v>6</v>
      </c>
      <c r="Q153" s="19">
        <v>6</v>
      </c>
      <c r="R153" s="19">
        <v>6</v>
      </c>
      <c r="S153" s="19">
        <v>6</v>
      </c>
      <c r="T153" s="19">
        <v>6</v>
      </c>
      <c r="V153" s="19">
        <v>6</v>
      </c>
      <c r="W153" s="19">
        <v>6</v>
      </c>
      <c r="X153" s="19">
        <v>6</v>
      </c>
      <c r="Y153" s="19">
        <v>6</v>
      </c>
      <c r="Z153" s="19">
        <v>6</v>
      </c>
      <c r="AA153" s="19">
        <v>6</v>
      </c>
      <c r="AB153" s="19">
        <v>6</v>
      </c>
      <c r="AC153" s="19">
        <v>6</v>
      </c>
      <c r="AD153" s="19">
        <v>6</v>
      </c>
      <c r="AF153" s="17">
        <v>10</v>
      </c>
      <c r="AI153" s="17" t="s">
        <v>31</v>
      </c>
      <c r="AK153" s="20" t="s">
        <v>32</v>
      </c>
    </row>
    <row r="154" spans="1:37" s="19" customFormat="1" x14ac:dyDescent="0.2">
      <c r="A154" s="17">
        <v>230</v>
      </c>
      <c r="B154" s="17"/>
      <c r="C154" s="17">
        <v>22</v>
      </c>
      <c r="D154" s="17">
        <v>6</v>
      </c>
      <c r="E154" s="17">
        <v>5</v>
      </c>
      <c r="F154" s="17"/>
      <c r="G154" s="18">
        <v>23.26</v>
      </c>
      <c r="H154" s="18">
        <v>10.19</v>
      </c>
      <c r="I154" s="18">
        <v>1.46</v>
      </c>
      <c r="J154" s="17"/>
      <c r="L154" s="19">
        <v>6</v>
      </c>
      <c r="M154" s="19">
        <v>6</v>
      </c>
      <c r="N154" s="19">
        <v>6</v>
      </c>
      <c r="O154" s="19">
        <v>6</v>
      </c>
      <c r="P154" s="19">
        <v>6</v>
      </c>
      <c r="Q154" s="19">
        <v>6</v>
      </c>
      <c r="R154" s="19">
        <v>6</v>
      </c>
      <c r="S154" s="19">
        <v>6</v>
      </c>
      <c r="T154" s="19">
        <v>6</v>
      </c>
      <c r="V154" s="19">
        <v>6</v>
      </c>
      <c r="W154" s="19">
        <v>6</v>
      </c>
      <c r="X154" s="19">
        <v>6</v>
      </c>
      <c r="Y154" s="19">
        <v>6</v>
      </c>
      <c r="Z154" s="19">
        <v>6</v>
      </c>
      <c r="AA154" s="19">
        <v>6</v>
      </c>
      <c r="AB154" s="19">
        <v>6</v>
      </c>
      <c r="AC154" s="19">
        <v>6</v>
      </c>
      <c r="AD154" s="19">
        <v>6</v>
      </c>
      <c r="AF154" s="17">
        <v>10</v>
      </c>
      <c r="AI154" s="17" t="s">
        <v>31</v>
      </c>
      <c r="AK154" s="20" t="s">
        <v>32</v>
      </c>
    </row>
    <row r="155" spans="1:37" s="19" customFormat="1" x14ac:dyDescent="0.2">
      <c r="A155" s="17">
        <v>231</v>
      </c>
      <c r="B155" s="17"/>
      <c r="C155" s="17">
        <v>27</v>
      </c>
      <c r="D155" s="17">
        <v>-3</v>
      </c>
      <c r="E155" s="17">
        <v>7</v>
      </c>
      <c r="F155" s="17"/>
      <c r="G155" s="18">
        <v>28.52</v>
      </c>
      <c r="H155" s="18">
        <v>0.82</v>
      </c>
      <c r="I155" s="18">
        <v>4.01</v>
      </c>
      <c r="J155" s="17"/>
      <c r="L155" s="19">
        <v>6</v>
      </c>
      <c r="M155" s="19">
        <v>6</v>
      </c>
      <c r="N155" s="19">
        <v>6</v>
      </c>
      <c r="O155" s="19">
        <v>6</v>
      </c>
      <c r="P155" s="19">
        <v>6</v>
      </c>
      <c r="Q155" s="19">
        <v>6</v>
      </c>
      <c r="R155" s="19">
        <v>6</v>
      </c>
      <c r="S155" s="19">
        <v>6</v>
      </c>
      <c r="T155" s="19">
        <v>6</v>
      </c>
      <c r="V155" s="19">
        <v>6</v>
      </c>
      <c r="W155" s="19">
        <v>6</v>
      </c>
      <c r="X155" s="19">
        <v>6</v>
      </c>
      <c r="Y155" s="19">
        <v>6</v>
      </c>
      <c r="Z155" s="19">
        <v>6</v>
      </c>
      <c r="AA155" s="19">
        <v>6</v>
      </c>
      <c r="AB155" s="19">
        <v>6</v>
      </c>
      <c r="AC155" s="19">
        <v>6</v>
      </c>
      <c r="AD155" s="19">
        <v>6</v>
      </c>
      <c r="AF155" s="17">
        <v>10</v>
      </c>
      <c r="AI155" s="17" t="s">
        <v>31</v>
      </c>
      <c r="AK155" s="20" t="s">
        <v>32</v>
      </c>
    </row>
    <row r="156" spans="1:37" s="19" customFormat="1" x14ac:dyDescent="0.2">
      <c r="A156" s="17">
        <v>232</v>
      </c>
      <c r="B156" s="17"/>
      <c r="C156" s="17">
        <v>-30</v>
      </c>
      <c r="D156" s="17">
        <v>-14</v>
      </c>
      <c r="E156" s="17">
        <v>1</v>
      </c>
      <c r="F156" s="17"/>
      <c r="G156" s="18">
        <v>-31.38</v>
      </c>
      <c r="H156" s="18">
        <v>-11.48</v>
      </c>
      <c r="I156" s="18">
        <v>-0.3</v>
      </c>
      <c r="J156" s="17"/>
      <c r="L156" s="19">
        <v>6</v>
      </c>
      <c r="M156" s="19">
        <v>6</v>
      </c>
      <c r="N156" s="19">
        <v>6</v>
      </c>
      <c r="O156" s="19">
        <v>6</v>
      </c>
      <c r="P156" s="19">
        <v>6</v>
      </c>
      <c r="Q156" s="19">
        <v>6</v>
      </c>
      <c r="R156" s="19">
        <v>6</v>
      </c>
      <c r="S156" s="19">
        <v>6</v>
      </c>
      <c r="T156" s="19">
        <v>6</v>
      </c>
      <c r="V156" s="19">
        <v>6</v>
      </c>
      <c r="W156" s="19">
        <v>6</v>
      </c>
      <c r="X156" s="19">
        <v>6</v>
      </c>
      <c r="Y156" s="19">
        <v>6</v>
      </c>
      <c r="Z156" s="19">
        <v>6</v>
      </c>
      <c r="AA156" s="19">
        <v>6</v>
      </c>
      <c r="AB156" s="19">
        <v>6</v>
      </c>
      <c r="AC156" s="19">
        <v>6</v>
      </c>
      <c r="AD156" s="19">
        <v>6</v>
      </c>
      <c r="AF156" s="17">
        <v>10</v>
      </c>
      <c r="AI156" s="17" t="s">
        <v>31</v>
      </c>
      <c r="AK156" s="20" t="s">
        <v>32</v>
      </c>
    </row>
    <row r="157" spans="1:37" s="19" customFormat="1" x14ac:dyDescent="0.2">
      <c r="A157" s="17">
        <v>233</v>
      </c>
      <c r="B157" s="17"/>
      <c r="C157" s="17">
        <v>14</v>
      </c>
      <c r="D157" s="17">
        <v>1</v>
      </c>
      <c r="E157" s="17">
        <v>10</v>
      </c>
      <c r="F157" s="17"/>
      <c r="G157" s="18">
        <v>14.98</v>
      </c>
      <c r="H157" s="18">
        <v>4.9400000000000004</v>
      </c>
      <c r="I157" s="18">
        <v>7.24</v>
      </c>
      <c r="J157" s="17"/>
      <c r="L157" s="19">
        <v>6</v>
      </c>
      <c r="M157" s="19">
        <v>6</v>
      </c>
      <c r="N157" s="19">
        <v>6</v>
      </c>
      <c r="O157" s="19">
        <v>6</v>
      </c>
      <c r="P157" s="19">
        <v>6</v>
      </c>
      <c r="Q157" s="19">
        <v>6</v>
      </c>
      <c r="R157" s="19">
        <v>6</v>
      </c>
      <c r="S157" s="19">
        <v>6</v>
      </c>
      <c r="T157" s="19">
        <v>6</v>
      </c>
      <c r="V157" s="19">
        <v>6</v>
      </c>
      <c r="W157" s="19">
        <v>6</v>
      </c>
      <c r="X157" s="19">
        <v>6</v>
      </c>
      <c r="Y157" s="19">
        <v>6</v>
      </c>
      <c r="Z157" s="19">
        <v>6</v>
      </c>
      <c r="AA157" s="19">
        <v>6</v>
      </c>
      <c r="AB157" s="19">
        <v>6</v>
      </c>
      <c r="AC157" s="19">
        <v>6</v>
      </c>
      <c r="AD157" s="19">
        <v>6</v>
      </c>
      <c r="AF157" s="17">
        <v>10</v>
      </c>
      <c r="AI157" s="17" t="s">
        <v>31</v>
      </c>
      <c r="AK157" s="20" t="s">
        <v>32</v>
      </c>
    </row>
    <row r="158" spans="1:37" s="19" customFormat="1" x14ac:dyDescent="0.2">
      <c r="A158" s="17">
        <v>234</v>
      </c>
      <c r="B158" s="17"/>
      <c r="C158" s="17">
        <v>8</v>
      </c>
      <c r="D158" s="17">
        <v>-7</v>
      </c>
      <c r="E158" s="17">
        <v>8</v>
      </c>
      <c r="F158" s="17"/>
      <c r="G158" s="18">
        <v>8.6199999999999992</v>
      </c>
      <c r="H158" s="18">
        <v>-3.57</v>
      </c>
      <c r="I158" s="18">
        <v>5.76</v>
      </c>
      <c r="J158" s="17"/>
      <c r="L158" s="19">
        <v>6</v>
      </c>
      <c r="M158" s="19">
        <v>6</v>
      </c>
      <c r="N158" s="19">
        <v>6</v>
      </c>
      <c r="O158" s="19">
        <v>6</v>
      </c>
      <c r="P158" s="19">
        <v>6</v>
      </c>
      <c r="Q158" s="19">
        <v>6</v>
      </c>
      <c r="R158" s="19">
        <v>6</v>
      </c>
      <c r="S158" s="19">
        <v>6</v>
      </c>
      <c r="T158" s="19">
        <v>6</v>
      </c>
      <c r="V158" s="19">
        <v>6</v>
      </c>
      <c r="W158" s="19">
        <v>6</v>
      </c>
      <c r="X158" s="19">
        <v>6</v>
      </c>
      <c r="Y158" s="19">
        <v>6</v>
      </c>
      <c r="Z158" s="19">
        <v>6</v>
      </c>
      <c r="AA158" s="19">
        <v>6</v>
      </c>
      <c r="AB158" s="19">
        <v>6</v>
      </c>
      <c r="AC158" s="19">
        <v>6</v>
      </c>
      <c r="AD158" s="19">
        <v>6</v>
      </c>
      <c r="AF158" s="17">
        <v>10</v>
      </c>
      <c r="AI158" s="17" t="s">
        <v>31</v>
      </c>
      <c r="AK158" s="20" t="s">
        <v>32</v>
      </c>
    </row>
    <row r="159" spans="1:37" x14ac:dyDescent="0.2">
      <c r="A159" s="3">
        <v>235</v>
      </c>
      <c r="C159" s="2">
        <v>51</v>
      </c>
      <c r="D159" s="2">
        <v>-45</v>
      </c>
      <c r="E159" s="2">
        <v>22</v>
      </c>
      <c r="G159" s="16">
        <v>53.9</v>
      </c>
      <c r="H159" s="16">
        <v>-42.76</v>
      </c>
      <c r="I159" s="16">
        <v>21.83</v>
      </c>
      <c r="L159">
        <v>7</v>
      </c>
      <c r="M159">
        <v>7</v>
      </c>
      <c r="N159">
        <v>7</v>
      </c>
      <c r="O159">
        <v>7</v>
      </c>
      <c r="P159">
        <v>7</v>
      </c>
      <c r="Q159">
        <v>7</v>
      </c>
      <c r="R159">
        <v>34</v>
      </c>
      <c r="S159">
        <v>2</v>
      </c>
      <c r="T159">
        <v>-1</v>
      </c>
      <c r="V159">
        <v>1</v>
      </c>
      <c r="W159">
        <v>7</v>
      </c>
      <c r="X159">
        <v>7</v>
      </c>
      <c r="Y159">
        <v>1</v>
      </c>
      <c r="Z159">
        <v>7</v>
      </c>
      <c r="AA159">
        <v>1</v>
      </c>
      <c r="AB159">
        <v>-1</v>
      </c>
      <c r="AC159">
        <v>-1</v>
      </c>
      <c r="AD159">
        <v>-1</v>
      </c>
      <c r="AF159" s="3">
        <v>11</v>
      </c>
      <c r="AH159" s="9"/>
      <c r="AI159" s="2" t="s">
        <v>24</v>
      </c>
      <c r="AK159" s="1" t="s">
        <v>25</v>
      </c>
    </row>
    <row r="160" spans="1:37" x14ac:dyDescent="0.2">
      <c r="A160" s="3">
        <v>236</v>
      </c>
      <c r="C160" s="2">
        <v>-54</v>
      </c>
      <c r="D160" s="2">
        <v>-51</v>
      </c>
      <c r="E160" s="2">
        <v>8</v>
      </c>
      <c r="G160" s="16">
        <v>-56.47</v>
      </c>
      <c r="H160" s="16">
        <v>-50.48</v>
      </c>
      <c r="I160" s="16">
        <v>9.92</v>
      </c>
      <c r="L160">
        <v>7</v>
      </c>
      <c r="M160">
        <v>7</v>
      </c>
      <c r="N160">
        <v>7</v>
      </c>
      <c r="O160">
        <v>7</v>
      </c>
      <c r="P160">
        <v>7</v>
      </c>
      <c r="Q160">
        <v>7</v>
      </c>
      <c r="R160">
        <v>7</v>
      </c>
      <c r="S160">
        <v>7</v>
      </c>
      <c r="T160">
        <v>7</v>
      </c>
      <c r="V160">
        <v>7</v>
      </c>
      <c r="W160">
        <v>7</v>
      </c>
      <c r="X160">
        <v>7</v>
      </c>
      <c r="Y160">
        <v>7</v>
      </c>
      <c r="Z160">
        <v>7</v>
      </c>
      <c r="AA160">
        <v>7</v>
      </c>
      <c r="AB160">
        <v>7</v>
      </c>
      <c r="AC160">
        <v>7</v>
      </c>
      <c r="AD160">
        <v>7</v>
      </c>
      <c r="AF160" s="3">
        <v>11</v>
      </c>
      <c r="AH160" s="9"/>
      <c r="AI160" s="2" t="s">
        <v>24</v>
      </c>
      <c r="AK160" s="1" t="s">
        <v>25</v>
      </c>
    </row>
    <row r="161" spans="1:37" x14ac:dyDescent="0.2">
      <c r="A161" s="3">
        <v>237</v>
      </c>
      <c r="C161" s="2">
        <v>-53</v>
      </c>
      <c r="D161" s="2">
        <v>-41</v>
      </c>
      <c r="E161" s="2">
        <v>12</v>
      </c>
      <c r="G161" s="16">
        <v>-55.3</v>
      </c>
      <c r="H161" s="16">
        <v>-39.89</v>
      </c>
      <c r="I161" s="16">
        <v>13.51</v>
      </c>
      <c r="L161">
        <v>7</v>
      </c>
      <c r="M161">
        <v>7</v>
      </c>
      <c r="N161">
        <v>7</v>
      </c>
      <c r="O161">
        <v>7</v>
      </c>
      <c r="P161">
        <v>7</v>
      </c>
      <c r="Q161">
        <v>1</v>
      </c>
      <c r="R161">
        <v>7</v>
      </c>
      <c r="S161">
        <v>7</v>
      </c>
      <c r="T161">
        <v>7</v>
      </c>
      <c r="V161">
        <v>7</v>
      </c>
      <c r="W161">
        <v>7</v>
      </c>
      <c r="X161">
        <v>7</v>
      </c>
      <c r="Y161">
        <v>7</v>
      </c>
      <c r="Z161">
        <v>7</v>
      </c>
      <c r="AA161">
        <v>7</v>
      </c>
      <c r="AB161">
        <v>7</v>
      </c>
      <c r="AC161">
        <v>7</v>
      </c>
      <c r="AD161">
        <v>7</v>
      </c>
      <c r="AF161" s="3">
        <v>11</v>
      </c>
      <c r="AH161" s="9"/>
      <c r="AI161" s="2" t="s">
        <v>24</v>
      </c>
      <c r="AK161" s="1" t="s">
        <v>25</v>
      </c>
    </row>
    <row r="162" spans="1:37" x14ac:dyDescent="0.2">
      <c r="A162" s="3">
        <v>238</v>
      </c>
      <c r="C162" s="2">
        <v>49</v>
      </c>
      <c r="D162" s="2">
        <v>-35</v>
      </c>
      <c r="E162" s="2">
        <v>9</v>
      </c>
      <c r="G162" s="16">
        <v>51.52</v>
      </c>
      <c r="H162" s="16">
        <v>-32.520000000000003</v>
      </c>
      <c r="I162" s="16">
        <v>7.55</v>
      </c>
      <c r="L162">
        <v>7</v>
      </c>
      <c r="M162">
        <v>7</v>
      </c>
      <c r="N162">
        <v>7</v>
      </c>
      <c r="O162">
        <v>7</v>
      </c>
      <c r="P162">
        <v>7</v>
      </c>
      <c r="Q162">
        <v>1</v>
      </c>
      <c r="R162">
        <v>7</v>
      </c>
      <c r="S162">
        <v>7</v>
      </c>
      <c r="T162">
        <v>7</v>
      </c>
      <c r="V162">
        <v>7</v>
      </c>
      <c r="W162">
        <v>7</v>
      </c>
      <c r="X162">
        <v>7</v>
      </c>
      <c r="Y162">
        <v>7</v>
      </c>
      <c r="Z162">
        <v>7</v>
      </c>
      <c r="AA162">
        <v>7</v>
      </c>
      <c r="AB162">
        <v>7</v>
      </c>
      <c r="AC162">
        <v>7</v>
      </c>
      <c r="AD162">
        <v>7</v>
      </c>
      <c r="AF162" s="3">
        <v>11</v>
      </c>
      <c r="AH162" s="9"/>
      <c r="AI162" s="2" t="s">
        <v>24</v>
      </c>
      <c r="AK162" s="1" t="s">
        <v>25</v>
      </c>
    </row>
    <row r="163" spans="1:37" x14ac:dyDescent="0.2">
      <c r="A163" s="3">
        <v>239</v>
      </c>
      <c r="C163" s="2">
        <v>49</v>
      </c>
      <c r="D163" s="2">
        <v>-31</v>
      </c>
      <c r="E163" s="2">
        <v>-2</v>
      </c>
      <c r="G163" s="16">
        <v>51.28</v>
      </c>
      <c r="H163" s="16">
        <v>-28.52</v>
      </c>
      <c r="I163" s="16">
        <v>-4.3</v>
      </c>
      <c r="L163">
        <v>7</v>
      </c>
      <c r="M163">
        <v>7</v>
      </c>
      <c r="N163">
        <v>7</v>
      </c>
      <c r="O163">
        <v>7</v>
      </c>
      <c r="P163">
        <v>7</v>
      </c>
      <c r="Q163">
        <v>7</v>
      </c>
      <c r="R163">
        <v>7</v>
      </c>
      <c r="S163">
        <v>2</v>
      </c>
      <c r="T163">
        <v>2</v>
      </c>
      <c r="V163">
        <v>7</v>
      </c>
      <c r="W163">
        <v>7</v>
      </c>
      <c r="X163">
        <v>7</v>
      </c>
      <c r="Y163">
        <v>7</v>
      </c>
      <c r="Z163">
        <v>7</v>
      </c>
      <c r="AA163">
        <v>7</v>
      </c>
      <c r="AB163">
        <v>2</v>
      </c>
      <c r="AC163">
        <v>7</v>
      </c>
      <c r="AD163">
        <v>2</v>
      </c>
      <c r="AF163" s="3">
        <v>11</v>
      </c>
      <c r="AH163" s="9"/>
      <c r="AI163" s="2" t="s">
        <v>24</v>
      </c>
      <c r="AK163" s="1" t="s">
        <v>25</v>
      </c>
    </row>
    <row r="164" spans="1:37" x14ac:dyDescent="0.2">
      <c r="A164" s="3">
        <v>240</v>
      </c>
      <c r="C164" s="2">
        <v>53</v>
      </c>
      <c r="D164" s="2">
        <v>-48</v>
      </c>
      <c r="E164" s="2">
        <v>12</v>
      </c>
      <c r="G164" s="16">
        <v>55.75</v>
      </c>
      <c r="H164" s="16">
        <v>-46.07</v>
      </c>
      <c r="I164" s="16">
        <v>11.42</v>
      </c>
      <c r="L164">
        <v>7</v>
      </c>
      <c r="M164">
        <v>7</v>
      </c>
      <c r="N164">
        <v>7</v>
      </c>
      <c r="O164">
        <v>7</v>
      </c>
      <c r="P164">
        <v>7</v>
      </c>
      <c r="Q164">
        <v>7</v>
      </c>
      <c r="R164">
        <v>7</v>
      </c>
      <c r="S164">
        <v>7</v>
      </c>
      <c r="T164">
        <v>7</v>
      </c>
      <c r="V164">
        <v>7</v>
      </c>
      <c r="W164">
        <v>7</v>
      </c>
      <c r="X164">
        <v>7</v>
      </c>
      <c r="Y164">
        <v>7</v>
      </c>
      <c r="Z164">
        <v>7</v>
      </c>
      <c r="AA164">
        <v>7</v>
      </c>
      <c r="AB164">
        <v>7</v>
      </c>
      <c r="AC164">
        <v>7</v>
      </c>
      <c r="AD164">
        <v>7</v>
      </c>
      <c r="AF164" s="3">
        <v>11</v>
      </c>
      <c r="AH164" s="9"/>
      <c r="AI164" s="2" t="s">
        <v>24</v>
      </c>
      <c r="AK164" s="1" t="s">
        <v>25</v>
      </c>
    </row>
    <row r="165" spans="1:37" x14ac:dyDescent="0.2">
      <c r="A165" s="3">
        <v>241</v>
      </c>
      <c r="C165" s="2">
        <v>50</v>
      </c>
      <c r="D165" s="2">
        <v>27</v>
      </c>
      <c r="E165" s="2">
        <v>6</v>
      </c>
      <c r="G165" s="16">
        <v>52.68</v>
      </c>
      <c r="H165" s="16">
        <v>32.58</v>
      </c>
      <c r="I165" s="16">
        <v>0.56999999999999995</v>
      </c>
      <c r="L165">
        <v>7</v>
      </c>
      <c r="M165">
        <v>7</v>
      </c>
      <c r="N165">
        <v>7</v>
      </c>
      <c r="O165">
        <v>7</v>
      </c>
      <c r="P165">
        <v>7</v>
      </c>
      <c r="Q165">
        <v>7</v>
      </c>
      <c r="R165">
        <v>7</v>
      </c>
      <c r="S165">
        <v>7</v>
      </c>
      <c r="T165">
        <v>50</v>
      </c>
      <c r="V165">
        <v>7</v>
      </c>
      <c r="W165">
        <v>7</v>
      </c>
      <c r="X165">
        <v>7</v>
      </c>
      <c r="Y165">
        <v>7</v>
      </c>
      <c r="Z165">
        <v>7</v>
      </c>
      <c r="AA165">
        <v>7</v>
      </c>
      <c r="AB165">
        <v>7</v>
      </c>
      <c r="AC165">
        <v>40</v>
      </c>
      <c r="AD165">
        <v>40</v>
      </c>
      <c r="AF165" s="3">
        <v>11</v>
      </c>
      <c r="AH165" s="9"/>
      <c r="AI165" s="2" t="s">
        <v>24</v>
      </c>
      <c r="AK165" s="1" t="s">
        <v>25</v>
      </c>
    </row>
    <row r="166" spans="1:37" x14ac:dyDescent="0.2">
      <c r="A166" s="3">
        <v>242</v>
      </c>
      <c r="C166" s="2">
        <v>-47</v>
      </c>
      <c r="D166" s="2">
        <v>21</v>
      </c>
      <c r="E166" s="2">
        <v>2</v>
      </c>
      <c r="G166" s="16">
        <v>-49.07</v>
      </c>
      <c r="H166" s="16">
        <v>25.13</v>
      </c>
      <c r="I166" s="16">
        <v>-0.98</v>
      </c>
      <c r="L166">
        <v>7</v>
      </c>
      <c r="M166">
        <v>7</v>
      </c>
      <c r="N166">
        <v>7</v>
      </c>
      <c r="O166">
        <v>2</v>
      </c>
      <c r="P166">
        <v>2</v>
      </c>
      <c r="Q166">
        <v>7</v>
      </c>
      <c r="R166">
        <v>7</v>
      </c>
      <c r="S166">
        <v>7</v>
      </c>
      <c r="T166">
        <v>50</v>
      </c>
      <c r="V166">
        <v>7</v>
      </c>
      <c r="W166">
        <v>7</v>
      </c>
      <c r="X166">
        <v>7</v>
      </c>
      <c r="Y166">
        <v>7</v>
      </c>
      <c r="Z166">
        <v>2</v>
      </c>
      <c r="AA166">
        <v>7</v>
      </c>
      <c r="AB166">
        <v>7</v>
      </c>
      <c r="AC166">
        <v>40</v>
      </c>
      <c r="AD166">
        <v>40</v>
      </c>
      <c r="AF166" s="3">
        <v>11</v>
      </c>
      <c r="AH166" s="9"/>
      <c r="AI166" s="2" t="s">
        <v>24</v>
      </c>
      <c r="AK166" s="1" t="s">
        <v>25</v>
      </c>
    </row>
    <row r="167" spans="1:37" x14ac:dyDescent="0.2">
      <c r="A167" s="3">
        <v>247</v>
      </c>
      <c r="C167" s="2">
        <v>32</v>
      </c>
      <c r="D167" s="2">
        <v>-15</v>
      </c>
      <c r="E167" s="2">
        <v>-30</v>
      </c>
      <c r="G167" s="16">
        <v>32.85</v>
      </c>
      <c r="H167" s="16">
        <v>-12.41</v>
      </c>
      <c r="I167" s="16">
        <v>-34.409999999999997</v>
      </c>
      <c r="L167">
        <v>9</v>
      </c>
      <c r="M167">
        <v>9</v>
      </c>
      <c r="N167">
        <v>9</v>
      </c>
      <c r="O167">
        <v>9</v>
      </c>
      <c r="P167">
        <v>9</v>
      </c>
      <c r="Q167">
        <v>-1</v>
      </c>
      <c r="R167">
        <v>-1</v>
      </c>
      <c r="S167">
        <v>-1</v>
      </c>
      <c r="T167">
        <v>-1</v>
      </c>
      <c r="V167">
        <v>9</v>
      </c>
      <c r="W167">
        <v>9</v>
      </c>
      <c r="X167">
        <v>9</v>
      </c>
      <c r="Y167">
        <v>9</v>
      </c>
      <c r="Z167">
        <v>9</v>
      </c>
      <c r="AA167">
        <v>9</v>
      </c>
      <c r="AB167">
        <v>-1</v>
      </c>
      <c r="AC167">
        <v>-1</v>
      </c>
      <c r="AD167">
        <v>-1</v>
      </c>
      <c r="AF167" s="3">
        <v>-1</v>
      </c>
      <c r="AI167" s="2" t="s">
        <v>33</v>
      </c>
      <c r="AK167" s="1" t="s">
        <v>28</v>
      </c>
    </row>
    <row r="168" spans="1:37" x14ac:dyDescent="0.2">
      <c r="A168" s="3">
        <v>248</v>
      </c>
      <c r="C168" s="2">
        <v>-29</v>
      </c>
      <c r="D168" s="2">
        <v>-12</v>
      </c>
      <c r="E168" s="2">
        <v>-33</v>
      </c>
      <c r="G168" s="16">
        <v>-31.13</v>
      </c>
      <c r="H168" s="16">
        <v>-9.99</v>
      </c>
      <c r="I168" s="16">
        <v>-36.32</v>
      </c>
      <c r="L168">
        <v>9</v>
      </c>
      <c r="M168">
        <v>9</v>
      </c>
      <c r="N168">
        <v>9</v>
      </c>
      <c r="O168">
        <v>9</v>
      </c>
      <c r="P168">
        <v>9</v>
      </c>
      <c r="Q168">
        <v>-1</v>
      </c>
      <c r="R168">
        <v>-1</v>
      </c>
      <c r="S168">
        <v>-1</v>
      </c>
      <c r="T168">
        <v>-1</v>
      </c>
      <c r="V168">
        <v>9</v>
      </c>
      <c r="W168">
        <v>9</v>
      </c>
      <c r="X168">
        <v>9</v>
      </c>
      <c r="Y168">
        <v>9</v>
      </c>
      <c r="Z168">
        <v>9</v>
      </c>
      <c r="AA168">
        <v>9</v>
      </c>
      <c r="AB168">
        <v>-1</v>
      </c>
      <c r="AC168">
        <v>-1</v>
      </c>
      <c r="AD168">
        <v>-1</v>
      </c>
      <c r="AF168" s="3">
        <v>-1</v>
      </c>
      <c r="AI168" s="2" t="s">
        <v>33</v>
      </c>
      <c r="AK168" s="1" t="s">
        <v>28</v>
      </c>
    </row>
    <row r="169" spans="1:37" x14ac:dyDescent="0.2">
      <c r="A169" s="3">
        <v>249</v>
      </c>
      <c r="C169" s="2">
        <v>47</v>
      </c>
      <c r="D169" s="2">
        <v>-6</v>
      </c>
      <c r="E169" s="2">
        <v>-33</v>
      </c>
      <c r="G169" s="16">
        <v>48.52</v>
      </c>
      <c r="H169" s="16">
        <v>-2.85</v>
      </c>
      <c r="I169" s="16">
        <v>-38.49</v>
      </c>
      <c r="L169">
        <v>9</v>
      </c>
      <c r="M169">
        <v>9</v>
      </c>
      <c r="N169">
        <v>9</v>
      </c>
      <c r="O169">
        <v>9</v>
      </c>
      <c r="P169">
        <v>9</v>
      </c>
      <c r="Q169">
        <v>-1</v>
      </c>
      <c r="R169">
        <v>-1</v>
      </c>
      <c r="S169">
        <v>-1</v>
      </c>
      <c r="T169">
        <v>-1</v>
      </c>
      <c r="V169">
        <v>9</v>
      </c>
      <c r="W169">
        <v>9</v>
      </c>
      <c r="X169">
        <v>9</v>
      </c>
      <c r="Y169">
        <v>9</v>
      </c>
      <c r="Z169">
        <v>9</v>
      </c>
      <c r="AA169">
        <v>9</v>
      </c>
      <c r="AB169">
        <v>-1</v>
      </c>
      <c r="AC169">
        <v>-1</v>
      </c>
      <c r="AD169">
        <v>-1</v>
      </c>
      <c r="AF169" s="3">
        <v>-1</v>
      </c>
      <c r="AI169" s="2" t="s">
        <v>33</v>
      </c>
      <c r="AK169" s="1" t="s">
        <v>28</v>
      </c>
    </row>
    <row r="170" spans="1:37" x14ac:dyDescent="0.2">
      <c r="A170" s="3">
        <v>250</v>
      </c>
      <c r="C170" s="2">
        <v>-47</v>
      </c>
      <c r="D170" s="2">
        <v>-9</v>
      </c>
      <c r="E170" s="2">
        <v>-36</v>
      </c>
      <c r="G170" s="16">
        <v>-50.06</v>
      </c>
      <c r="H170" s="16">
        <v>-7.09</v>
      </c>
      <c r="I170" s="16">
        <v>-39.24</v>
      </c>
      <c r="L170">
        <v>9</v>
      </c>
      <c r="M170">
        <v>9</v>
      </c>
      <c r="N170">
        <v>9</v>
      </c>
      <c r="O170">
        <v>9</v>
      </c>
      <c r="P170">
        <v>9</v>
      </c>
      <c r="Q170">
        <v>-1</v>
      </c>
      <c r="R170">
        <v>-1</v>
      </c>
      <c r="S170">
        <v>-1</v>
      </c>
      <c r="T170">
        <v>-1</v>
      </c>
      <c r="V170">
        <v>9</v>
      </c>
      <c r="W170">
        <v>9</v>
      </c>
      <c r="X170">
        <v>9</v>
      </c>
      <c r="Y170">
        <v>9</v>
      </c>
      <c r="Z170">
        <v>9</v>
      </c>
      <c r="AA170">
        <v>9</v>
      </c>
      <c r="AB170">
        <v>-1</v>
      </c>
      <c r="AC170">
        <v>-1</v>
      </c>
      <c r="AD170">
        <v>-1</v>
      </c>
      <c r="AF170" s="3">
        <v>-1</v>
      </c>
      <c r="AI170" s="2" t="s">
        <v>33</v>
      </c>
      <c r="AK170" s="1" t="s">
        <v>28</v>
      </c>
    </row>
    <row r="171" spans="1:37" x14ac:dyDescent="0.2">
      <c r="A171" s="3">
        <v>251</v>
      </c>
      <c r="C171" s="2">
        <v>8</v>
      </c>
      <c r="D171" s="2">
        <v>-63</v>
      </c>
      <c r="E171" s="2">
        <v>57</v>
      </c>
      <c r="G171" s="16">
        <v>9.61</v>
      </c>
      <c r="H171" s="16">
        <v>-61.5</v>
      </c>
      <c r="I171" s="16">
        <v>60.88</v>
      </c>
      <c r="L171">
        <v>4</v>
      </c>
      <c r="M171">
        <v>17</v>
      </c>
      <c r="N171">
        <v>17</v>
      </c>
      <c r="O171">
        <v>17</v>
      </c>
      <c r="P171">
        <v>17</v>
      </c>
      <c r="Q171">
        <v>17</v>
      </c>
      <c r="R171">
        <v>17</v>
      </c>
      <c r="S171">
        <v>17</v>
      </c>
      <c r="T171">
        <v>-1</v>
      </c>
      <c r="V171">
        <v>5</v>
      </c>
      <c r="W171">
        <v>5</v>
      </c>
      <c r="X171">
        <v>4</v>
      </c>
      <c r="Y171">
        <v>5</v>
      </c>
      <c r="Z171">
        <v>21</v>
      </c>
      <c r="AA171">
        <v>21</v>
      </c>
      <c r="AB171">
        <v>21</v>
      </c>
      <c r="AC171">
        <v>-1</v>
      </c>
      <c r="AD171">
        <v>-1</v>
      </c>
      <c r="AF171" s="3">
        <v>12</v>
      </c>
      <c r="AH171" s="11"/>
      <c r="AI171" s="2" t="s">
        <v>34</v>
      </c>
      <c r="AK171" s="1" t="s">
        <v>35</v>
      </c>
    </row>
    <row r="172" spans="1:37" x14ac:dyDescent="0.2">
      <c r="A172" s="3">
        <v>252</v>
      </c>
      <c r="C172" s="2">
        <v>-50</v>
      </c>
      <c r="D172" s="2">
        <v>-63</v>
      </c>
      <c r="E172" s="2">
        <v>3</v>
      </c>
      <c r="G172" s="16">
        <v>-52.44</v>
      </c>
      <c r="H172" s="16">
        <v>-63.14</v>
      </c>
      <c r="I172" s="16">
        <v>5.29</v>
      </c>
      <c r="L172">
        <v>4</v>
      </c>
      <c r="M172">
        <v>17</v>
      </c>
      <c r="N172">
        <v>17</v>
      </c>
      <c r="O172">
        <v>17</v>
      </c>
      <c r="P172">
        <v>17</v>
      </c>
      <c r="Q172">
        <v>4</v>
      </c>
      <c r="R172">
        <v>4</v>
      </c>
      <c r="S172">
        <v>4</v>
      </c>
      <c r="T172">
        <v>-1</v>
      </c>
      <c r="V172">
        <v>4</v>
      </c>
      <c r="W172">
        <v>4</v>
      </c>
      <c r="X172">
        <v>4</v>
      </c>
      <c r="Y172">
        <v>4</v>
      </c>
      <c r="Z172">
        <v>4</v>
      </c>
      <c r="AA172">
        <v>21</v>
      </c>
      <c r="AB172">
        <v>4</v>
      </c>
      <c r="AC172">
        <v>-1</v>
      </c>
      <c r="AD172">
        <v>-1</v>
      </c>
      <c r="AF172" s="3">
        <v>12</v>
      </c>
      <c r="AH172" s="11"/>
      <c r="AI172" s="2" t="s">
        <v>34</v>
      </c>
      <c r="AK172" s="1" t="s">
        <v>35</v>
      </c>
    </row>
    <row r="173" spans="1:37" x14ac:dyDescent="0.2">
      <c r="A173" s="3">
        <v>253</v>
      </c>
      <c r="C173" s="2">
        <v>-44</v>
      </c>
      <c r="D173" s="2">
        <v>-51</v>
      </c>
      <c r="E173" s="2">
        <v>-21</v>
      </c>
      <c r="G173" s="16">
        <v>-46.68</v>
      </c>
      <c r="H173" s="16">
        <v>-50.91</v>
      </c>
      <c r="I173" s="16">
        <v>-20.91</v>
      </c>
      <c r="L173">
        <v>3</v>
      </c>
      <c r="M173">
        <v>3</v>
      </c>
      <c r="N173">
        <v>17</v>
      </c>
      <c r="O173">
        <v>17</v>
      </c>
      <c r="P173">
        <v>3</v>
      </c>
      <c r="Q173">
        <v>-1</v>
      </c>
      <c r="R173">
        <v>-1</v>
      </c>
      <c r="S173">
        <v>-1</v>
      </c>
      <c r="T173">
        <v>-1</v>
      </c>
      <c r="V173">
        <v>3</v>
      </c>
      <c r="W173">
        <v>3</v>
      </c>
      <c r="X173">
        <v>3</v>
      </c>
      <c r="Y173">
        <v>3</v>
      </c>
      <c r="Z173">
        <v>-1</v>
      </c>
      <c r="AA173">
        <v>-1</v>
      </c>
      <c r="AB173">
        <v>-1</v>
      </c>
      <c r="AC173">
        <v>-1</v>
      </c>
      <c r="AD173">
        <v>-1</v>
      </c>
      <c r="AF173" s="3">
        <v>-1</v>
      </c>
      <c r="AI173" s="2" t="s">
        <v>33</v>
      </c>
      <c r="AK173" s="1" t="s">
        <v>28</v>
      </c>
    </row>
    <row r="174" spans="1:37" x14ac:dyDescent="0.2">
      <c r="A174" s="3">
        <v>254</v>
      </c>
      <c r="C174" s="2">
        <v>44</v>
      </c>
      <c r="D174" s="2">
        <v>-48</v>
      </c>
      <c r="E174" s="2">
        <v>-15</v>
      </c>
      <c r="G174" s="16">
        <v>45.68</v>
      </c>
      <c r="H174" s="16">
        <v>-46.67</v>
      </c>
      <c r="I174" s="16">
        <v>-16.850000000000001</v>
      </c>
      <c r="L174">
        <v>3</v>
      </c>
      <c r="M174">
        <v>3</v>
      </c>
      <c r="N174">
        <v>17</v>
      </c>
      <c r="O174">
        <v>17</v>
      </c>
      <c r="P174">
        <v>3</v>
      </c>
      <c r="Q174">
        <v>-1</v>
      </c>
      <c r="R174">
        <v>-1</v>
      </c>
      <c r="S174">
        <v>-1</v>
      </c>
      <c r="T174">
        <v>-1</v>
      </c>
      <c r="V174">
        <v>3</v>
      </c>
      <c r="W174">
        <v>3</v>
      </c>
      <c r="X174">
        <v>3</v>
      </c>
      <c r="Y174">
        <v>3</v>
      </c>
      <c r="Z174">
        <v>-1</v>
      </c>
      <c r="AA174">
        <v>-1</v>
      </c>
      <c r="AB174">
        <v>4</v>
      </c>
      <c r="AC174">
        <v>38</v>
      </c>
      <c r="AD174">
        <v>-1</v>
      </c>
      <c r="AF174" s="3">
        <v>-1</v>
      </c>
      <c r="AI174" s="2" t="s">
        <v>33</v>
      </c>
      <c r="AK174" s="1" t="s">
        <v>28</v>
      </c>
    </row>
    <row r="175" spans="1:37" x14ac:dyDescent="0.2">
      <c r="A175" s="3">
        <v>256</v>
      </c>
      <c r="C175" s="2">
        <v>20</v>
      </c>
      <c r="D175" s="2">
        <v>-66</v>
      </c>
      <c r="E175" s="2">
        <v>45</v>
      </c>
      <c r="G175" s="16">
        <v>21.9</v>
      </c>
      <c r="H175" s="16">
        <v>-64.739999999999995</v>
      </c>
      <c r="I175" s="16">
        <v>48.12</v>
      </c>
      <c r="L175">
        <v>3</v>
      </c>
      <c r="M175">
        <v>17</v>
      </c>
      <c r="N175">
        <v>17</v>
      </c>
      <c r="O175">
        <v>17</v>
      </c>
      <c r="P175">
        <v>17</v>
      </c>
      <c r="Q175">
        <v>17</v>
      </c>
      <c r="R175">
        <v>17</v>
      </c>
      <c r="S175">
        <v>4</v>
      </c>
      <c r="T175">
        <v>49</v>
      </c>
      <c r="V175">
        <v>3</v>
      </c>
      <c r="W175">
        <v>3</v>
      </c>
      <c r="X175">
        <v>3</v>
      </c>
      <c r="Y175">
        <v>3</v>
      </c>
      <c r="Z175">
        <v>3</v>
      </c>
      <c r="AA175">
        <v>3</v>
      </c>
      <c r="AB175">
        <v>21</v>
      </c>
      <c r="AC175">
        <v>38</v>
      </c>
      <c r="AD175">
        <v>38</v>
      </c>
      <c r="AF175" s="3">
        <v>12</v>
      </c>
      <c r="AH175" s="11"/>
      <c r="AI175" s="2" t="s">
        <v>34</v>
      </c>
      <c r="AK175" s="1" t="s">
        <v>35</v>
      </c>
    </row>
    <row r="176" spans="1:37" x14ac:dyDescent="0.2">
      <c r="A176" s="3">
        <v>257</v>
      </c>
      <c r="C176" s="2">
        <v>44</v>
      </c>
      <c r="D176" s="2">
        <v>-60</v>
      </c>
      <c r="E176" s="2">
        <v>4</v>
      </c>
      <c r="G176" s="16">
        <v>46.09</v>
      </c>
      <c r="H176" s="16">
        <v>-58.93</v>
      </c>
      <c r="I176" s="16">
        <v>3.93</v>
      </c>
      <c r="L176">
        <v>3</v>
      </c>
      <c r="M176">
        <v>3</v>
      </c>
      <c r="N176">
        <v>17</v>
      </c>
      <c r="O176">
        <v>17</v>
      </c>
      <c r="P176">
        <v>3</v>
      </c>
      <c r="Q176">
        <v>3</v>
      </c>
      <c r="R176">
        <v>3</v>
      </c>
      <c r="S176">
        <v>3</v>
      </c>
      <c r="T176">
        <v>49</v>
      </c>
      <c r="V176">
        <v>3</v>
      </c>
      <c r="W176">
        <v>3</v>
      </c>
      <c r="X176">
        <v>3</v>
      </c>
      <c r="Y176">
        <v>3</v>
      </c>
      <c r="Z176">
        <v>3</v>
      </c>
      <c r="AA176">
        <v>3</v>
      </c>
      <c r="AB176">
        <v>3</v>
      </c>
      <c r="AC176">
        <v>3</v>
      </c>
      <c r="AD176">
        <v>3</v>
      </c>
      <c r="AF176" s="3">
        <v>12</v>
      </c>
      <c r="AH176" s="11"/>
      <c r="AI176" s="2" t="s">
        <v>34</v>
      </c>
      <c r="AK176" s="1" t="s">
        <v>35</v>
      </c>
    </row>
    <row r="177" spans="1:37" x14ac:dyDescent="0.2">
      <c r="A177" s="3">
        <v>258</v>
      </c>
      <c r="C177" s="2">
        <v>23</v>
      </c>
      <c r="D177" s="2">
        <v>-60</v>
      </c>
      <c r="E177" s="2">
        <v>57</v>
      </c>
      <c r="G177" s="16">
        <v>25.34</v>
      </c>
      <c r="H177" s="16">
        <v>-58.18</v>
      </c>
      <c r="I177" s="16">
        <v>60.34</v>
      </c>
      <c r="L177">
        <v>3</v>
      </c>
      <c r="M177">
        <v>3</v>
      </c>
      <c r="N177">
        <v>17</v>
      </c>
      <c r="O177">
        <v>17</v>
      </c>
      <c r="P177">
        <v>3</v>
      </c>
      <c r="Q177">
        <v>3</v>
      </c>
      <c r="R177">
        <v>3</v>
      </c>
      <c r="S177">
        <v>3</v>
      </c>
      <c r="T177">
        <v>49</v>
      </c>
      <c r="V177">
        <v>3</v>
      </c>
      <c r="W177">
        <v>3</v>
      </c>
      <c r="X177">
        <v>3</v>
      </c>
      <c r="Y177">
        <v>3</v>
      </c>
      <c r="Z177">
        <v>3</v>
      </c>
      <c r="AA177">
        <v>3</v>
      </c>
      <c r="AB177">
        <v>3</v>
      </c>
      <c r="AC177">
        <v>3</v>
      </c>
      <c r="AD177">
        <v>38</v>
      </c>
      <c r="AF177" s="3">
        <v>12</v>
      </c>
      <c r="AH177" s="11"/>
      <c r="AI177" s="2" t="s">
        <v>34</v>
      </c>
      <c r="AK177" s="1" t="s">
        <v>35</v>
      </c>
    </row>
    <row r="178" spans="1:37" x14ac:dyDescent="0.2">
      <c r="A178" s="3">
        <v>259</v>
      </c>
      <c r="C178" s="2">
        <v>-32</v>
      </c>
      <c r="D178" s="2">
        <v>-48</v>
      </c>
      <c r="E178" s="2">
        <v>44</v>
      </c>
      <c r="G178" s="16">
        <v>-32.56</v>
      </c>
      <c r="H178" s="16">
        <v>-46.42</v>
      </c>
      <c r="I178" s="16">
        <v>47.2</v>
      </c>
      <c r="L178">
        <v>4</v>
      </c>
      <c r="M178">
        <v>17</v>
      </c>
      <c r="N178">
        <v>17</v>
      </c>
      <c r="O178">
        <v>17</v>
      </c>
      <c r="P178">
        <v>17</v>
      </c>
      <c r="Q178">
        <v>4</v>
      </c>
      <c r="R178">
        <v>4</v>
      </c>
      <c r="S178">
        <v>4</v>
      </c>
      <c r="T178">
        <v>49</v>
      </c>
      <c r="V178">
        <v>4</v>
      </c>
      <c r="W178">
        <v>4</v>
      </c>
      <c r="X178">
        <v>4</v>
      </c>
      <c r="Y178">
        <v>4</v>
      </c>
      <c r="Z178">
        <v>4</v>
      </c>
      <c r="AA178">
        <v>4</v>
      </c>
      <c r="AB178">
        <v>4</v>
      </c>
      <c r="AC178">
        <v>38</v>
      </c>
      <c r="AD178">
        <v>38</v>
      </c>
      <c r="AF178" s="3">
        <v>12</v>
      </c>
      <c r="AH178" s="11"/>
      <c r="AI178" s="2" t="s">
        <v>34</v>
      </c>
      <c r="AK178" s="1" t="s">
        <v>35</v>
      </c>
    </row>
    <row r="179" spans="1:37" x14ac:dyDescent="0.2">
      <c r="A179" s="3">
        <v>260</v>
      </c>
      <c r="C179" s="2">
        <v>-26</v>
      </c>
      <c r="D179" s="2">
        <v>-71</v>
      </c>
      <c r="E179" s="2">
        <v>33</v>
      </c>
      <c r="G179" s="16">
        <v>-26.6</v>
      </c>
      <c r="H179" s="16">
        <v>-70.72</v>
      </c>
      <c r="I179" s="16">
        <v>36.86</v>
      </c>
      <c r="L179">
        <v>4</v>
      </c>
      <c r="M179">
        <v>17</v>
      </c>
      <c r="N179">
        <v>17</v>
      </c>
      <c r="O179">
        <v>17</v>
      </c>
      <c r="P179">
        <v>17</v>
      </c>
      <c r="Q179">
        <v>4</v>
      </c>
      <c r="R179">
        <v>4</v>
      </c>
      <c r="S179">
        <v>4</v>
      </c>
      <c r="T179">
        <v>49</v>
      </c>
      <c r="V179">
        <v>4</v>
      </c>
      <c r="W179">
        <v>4</v>
      </c>
      <c r="X179">
        <v>4</v>
      </c>
      <c r="Y179">
        <v>4</v>
      </c>
      <c r="Z179">
        <v>4</v>
      </c>
      <c r="AA179">
        <v>4</v>
      </c>
      <c r="AB179">
        <v>4</v>
      </c>
      <c r="AC179">
        <v>38</v>
      </c>
      <c r="AD179">
        <v>38</v>
      </c>
      <c r="AF179" s="3">
        <v>12</v>
      </c>
      <c r="AH179" s="11"/>
      <c r="AI179" s="2" t="s">
        <v>34</v>
      </c>
      <c r="AK179" s="1" t="s">
        <v>35</v>
      </c>
    </row>
    <row r="180" spans="1:37" x14ac:dyDescent="0.2">
      <c r="A180" s="3">
        <v>261</v>
      </c>
      <c r="C180" s="2">
        <v>-32</v>
      </c>
      <c r="D180" s="2">
        <v>-5</v>
      </c>
      <c r="E180" s="2">
        <v>53</v>
      </c>
      <c r="G180" s="16">
        <v>-32.229999999999997</v>
      </c>
      <c r="H180" s="16">
        <v>-1.08</v>
      </c>
      <c r="I180" s="16">
        <v>54.06</v>
      </c>
      <c r="L180">
        <v>4</v>
      </c>
      <c r="M180">
        <v>17</v>
      </c>
      <c r="N180">
        <v>17</v>
      </c>
      <c r="O180">
        <v>17</v>
      </c>
      <c r="P180">
        <v>17</v>
      </c>
      <c r="Q180">
        <v>4</v>
      </c>
      <c r="R180">
        <v>4</v>
      </c>
      <c r="S180">
        <v>17</v>
      </c>
      <c r="T180">
        <v>49</v>
      </c>
      <c r="V180">
        <v>4</v>
      </c>
      <c r="W180">
        <v>4</v>
      </c>
      <c r="X180">
        <v>4</v>
      </c>
      <c r="Y180">
        <v>4</v>
      </c>
      <c r="Z180">
        <v>21</v>
      </c>
      <c r="AA180">
        <v>4</v>
      </c>
      <c r="AB180">
        <v>4</v>
      </c>
      <c r="AC180">
        <v>38</v>
      </c>
      <c r="AD180">
        <v>38</v>
      </c>
      <c r="AF180" s="3">
        <v>12</v>
      </c>
      <c r="AH180" s="11"/>
      <c r="AI180" s="2" t="s">
        <v>34</v>
      </c>
      <c r="AK180" s="1" t="s">
        <v>35</v>
      </c>
    </row>
    <row r="181" spans="1:37" x14ac:dyDescent="0.2">
      <c r="A181" s="3">
        <v>262</v>
      </c>
      <c r="C181" s="2">
        <v>-40</v>
      </c>
      <c r="D181" s="2">
        <v>-60</v>
      </c>
      <c r="E181" s="2">
        <v>-10</v>
      </c>
      <c r="G181" s="16">
        <v>-42.26</v>
      </c>
      <c r="H181" s="16">
        <v>-60.12</v>
      </c>
      <c r="I181" s="16">
        <v>-8.85</v>
      </c>
      <c r="L181">
        <v>3</v>
      </c>
      <c r="M181">
        <v>17</v>
      </c>
      <c r="N181">
        <v>17</v>
      </c>
      <c r="O181">
        <v>17</v>
      </c>
      <c r="P181">
        <v>17</v>
      </c>
      <c r="Q181">
        <v>4</v>
      </c>
      <c r="R181">
        <v>4</v>
      </c>
      <c r="S181">
        <v>4</v>
      </c>
      <c r="T181">
        <v>49</v>
      </c>
      <c r="V181">
        <v>4</v>
      </c>
      <c r="W181">
        <v>4</v>
      </c>
      <c r="X181">
        <v>4</v>
      </c>
      <c r="Y181">
        <v>4</v>
      </c>
      <c r="Z181">
        <v>4</v>
      </c>
      <c r="AA181">
        <v>4</v>
      </c>
      <c r="AB181">
        <v>4</v>
      </c>
      <c r="AC181">
        <v>38</v>
      </c>
      <c r="AD181">
        <v>38</v>
      </c>
      <c r="AF181" s="3">
        <v>12</v>
      </c>
      <c r="AH181" s="11"/>
      <c r="AI181" s="2" t="s">
        <v>34</v>
      </c>
      <c r="AK181" s="1" t="s">
        <v>35</v>
      </c>
    </row>
    <row r="182" spans="1:37" x14ac:dyDescent="0.2">
      <c r="A182" s="3">
        <v>263</v>
      </c>
      <c r="C182" s="2">
        <v>-17</v>
      </c>
      <c r="D182" s="2">
        <v>-60</v>
      </c>
      <c r="E182" s="2">
        <v>60</v>
      </c>
      <c r="G182" s="16">
        <v>-16.5</v>
      </c>
      <c r="H182" s="16">
        <v>-58.57</v>
      </c>
      <c r="I182" s="16">
        <v>64.459999999999994</v>
      </c>
      <c r="L182">
        <v>1</v>
      </c>
      <c r="M182">
        <v>17</v>
      </c>
      <c r="N182">
        <v>17</v>
      </c>
      <c r="O182">
        <v>17</v>
      </c>
      <c r="P182">
        <v>17</v>
      </c>
      <c r="Q182">
        <v>17</v>
      </c>
      <c r="R182">
        <v>17</v>
      </c>
      <c r="S182">
        <v>17</v>
      </c>
      <c r="T182">
        <v>49</v>
      </c>
      <c r="V182">
        <v>1</v>
      </c>
      <c r="W182">
        <v>1</v>
      </c>
      <c r="X182">
        <v>1</v>
      </c>
      <c r="Y182">
        <v>1</v>
      </c>
      <c r="Z182">
        <v>21</v>
      </c>
      <c r="AA182">
        <v>21</v>
      </c>
      <c r="AB182">
        <v>21</v>
      </c>
      <c r="AC182">
        <v>38</v>
      </c>
      <c r="AD182">
        <v>38</v>
      </c>
      <c r="AF182" s="3">
        <v>12</v>
      </c>
      <c r="AH182" s="11"/>
      <c r="AI182" s="2" t="s">
        <v>34</v>
      </c>
      <c r="AK182" s="1" t="s">
        <v>35</v>
      </c>
    </row>
    <row r="183" spans="1:37" x14ac:dyDescent="0.2">
      <c r="A183" s="3">
        <v>264</v>
      </c>
      <c r="C183" s="2">
        <v>26</v>
      </c>
      <c r="D183" s="2">
        <v>-9</v>
      </c>
      <c r="E183" s="2">
        <v>54</v>
      </c>
      <c r="G183" s="16">
        <v>28.56</v>
      </c>
      <c r="H183" s="16">
        <v>-4.62</v>
      </c>
      <c r="I183" s="16">
        <v>53.99</v>
      </c>
      <c r="L183">
        <v>1</v>
      </c>
      <c r="M183">
        <v>17</v>
      </c>
      <c r="N183">
        <v>17</v>
      </c>
      <c r="O183">
        <v>17</v>
      </c>
      <c r="P183">
        <v>17</v>
      </c>
      <c r="Q183">
        <v>17</v>
      </c>
      <c r="R183">
        <v>17</v>
      </c>
      <c r="S183">
        <v>17</v>
      </c>
      <c r="T183">
        <v>49</v>
      </c>
      <c r="V183">
        <v>1</v>
      </c>
      <c r="W183">
        <v>1</v>
      </c>
      <c r="X183">
        <v>1</v>
      </c>
      <c r="Y183">
        <v>1</v>
      </c>
      <c r="Z183">
        <v>21</v>
      </c>
      <c r="AA183">
        <v>1</v>
      </c>
      <c r="AB183">
        <v>21</v>
      </c>
      <c r="AC183">
        <v>38</v>
      </c>
      <c r="AD183">
        <v>38</v>
      </c>
      <c r="AF183" s="3">
        <v>12</v>
      </c>
      <c r="AH183" s="11"/>
      <c r="AI183" s="2" t="s">
        <v>34</v>
      </c>
      <c r="AK183" s="1" t="s">
        <v>35</v>
      </c>
    </row>
  </sheetData>
  <phoneticPr fontId="2" type="noConversion"/>
  <conditionalFormatting sqref="L1:T4 L31:T1048576">
    <cfRule type="cellIs" dxfId="2" priority="0" stopIfTrue="1" operator="equal">
      <formula>1</formula>
    </cfRule>
    <cfRule type="cellIs" dxfId="1" priority="0" stopIfTrue="1" operator="equal">
      <formula>33</formula>
    </cfRule>
    <cfRule type="cellIs" dxfId="0" priority="0" stopIfTrue="1" operator="equal">
      <formula>32</formula>
    </cfRule>
  </conditionalFormatting>
  <pageMargins left="0.75" right="0.75" top="1" bottom="1" header="0.5" footer="0.5"/>
  <pageSetup orientation="portrait" horizontalDpi="4294967292" verticalDpi="4294967292"/>
  <legacyDrawing r:id="rId1"/>
  <extLst>
    <ext xmlns:mx="http://schemas.microsoft.com/office/mac/excel/2008/main" uri="http://schemas.microsoft.com/office/mac/excel/2008/main">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EA19F-0288-4777-AD33-628504188640}">
  <sheetPr codeName="Sheet2"/>
  <dimension ref="A1:DA270"/>
  <sheetViews>
    <sheetView tabSelected="1" topLeftCell="F1" workbookViewId="0">
      <selection activeCell="J8" sqref="J8"/>
    </sheetView>
  </sheetViews>
  <sheetFormatPr defaultRowHeight="12.75" x14ac:dyDescent="0.2"/>
  <cols>
    <col min="1" max="1" width="13.75" bestFit="1" customWidth="1"/>
    <col min="2" max="2" width="18.75" bestFit="1" customWidth="1"/>
    <col min="3" max="3" width="31" bestFit="1" customWidth="1"/>
    <col min="4" max="4" width="41.25" bestFit="1" customWidth="1"/>
    <col min="6" max="6" width="24.625" bestFit="1" customWidth="1"/>
  </cols>
  <sheetData>
    <row r="1" spans="1:105" x14ac:dyDescent="0.2">
      <c r="A1" t="s">
        <v>49</v>
      </c>
      <c r="B1" t="s">
        <v>57</v>
      </c>
      <c r="C1" t="s">
        <v>50</v>
      </c>
      <c r="D1" t="s">
        <v>51</v>
      </c>
      <c r="E1" t="s">
        <v>61</v>
      </c>
    </row>
    <row r="2" spans="1:105" x14ac:dyDescent="0.2">
      <c r="A2">
        <v>1</v>
      </c>
      <c r="B2" s="26" t="s">
        <v>28</v>
      </c>
      <c r="C2" t="str">
        <f>VLOOKUP(A2,'264 ROIs'!A:AK,37,0)</f>
        <v>Uncertain</v>
      </c>
      <c r="D2" t="s">
        <v>28</v>
      </c>
      <c r="E2" t="str">
        <f>IF(D2="Default mode","YES",IF(D2="Fronto-parietal Task Control","YES",IF(D2="Subcortical","YES","NO")))</f>
        <v>NO</v>
      </c>
      <c r="F2" t="str">
        <f>IF(E2="YES",B2,"")</f>
        <v/>
      </c>
      <c r="G2" t="str">
        <f>IF(F2="","",F2&amp;"_"&amp;A2)</f>
        <v/>
      </c>
      <c r="J2" t="s">
        <v>64</v>
      </c>
      <c r="K2" t="s">
        <v>65</v>
      </c>
      <c r="L2" t="s">
        <v>66</v>
      </c>
      <c r="M2" t="s">
        <v>67</v>
      </c>
      <c r="N2" t="s">
        <v>68</v>
      </c>
      <c r="O2" t="s">
        <v>69</v>
      </c>
      <c r="P2" t="s">
        <v>70</v>
      </c>
      <c r="Q2" t="s">
        <v>71</v>
      </c>
      <c r="R2" t="s">
        <v>72</v>
      </c>
      <c r="S2" t="s">
        <v>73</v>
      </c>
      <c r="T2" t="s">
        <v>74</v>
      </c>
      <c r="U2" t="s">
        <v>75</v>
      </c>
      <c r="V2" t="s">
        <v>76</v>
      </c>
      <c r="W2" t="s">
        <v>77</v>
      </c>
      <c r="X2" t="s">
        <v>78</v>
      </c>
      <c r="Y2" t="s">
        <v>79</v>
      </c>
      <c r="Z2" t="s">
        <v>80</v>
      </c>
      <c r="AA2" t="s">
        <v>81</v>
      </c>
      <c r="AB2" t="s">
        <v>82</v>
      </c>
      <c r="AC2" t="s">
        <v>83</v>
      </c>
      <c r="AD2" t="s">
        <v>84</v>
      </c>
      <c r="AE2" t="s">
        <v>85</v>
      </c>
      <c r="AF2" t="s">
        <v>86</v>
      </c>
      <c r="AG2" t="s">
        <v>87</v>
      </c>
      <c r="AH2" t="s">
        <v>88</v>
      </c>
      <c r="AI2" t="s">
        <v>89</v>
      </c>
      <c r="AJ2" t="s">
        <v>90</v>
      </c>
      <c r="AK2" t="s">
        <v>91</v>
      </c>
      <c r="AL2" t="s">
        <v>92</v>
      </c>
      <c r="AM2" t="s">
        <v>93</v>
      </c>
      <c r="AN2" t="s">
        <v>94</v>
      </c>
      <c r="AO2" t="s">
        <v>95</v>
      </c>
      <c r="AP2" t="s">
        <v>96</v>
      </c>
      <c r="AQ2" t="s">
        <v>97</v>
      </c>
      <c r="AR2" t="s">
        <v>98</v>
      </c>
      <c r="AS2" t="s">
        <v>99</v>
      </c>
      <c r="AT2" t="s">
        <v>100</v>
      </c>
      <c r="AU2" t="s">
        <v>101</v>
      </c>
      <c r="AV2" t="s">
        <v>102</v>
      </c>
      <c r="AW2" t="s">
        <v>103</v>
      </c>
      <c r="AX2" t="s">
        <v>104</v>
      </c>
      <c r="AY2" t="s">
        <v>105</v>
      </c>
      <c r="AZ2" t="s">
        <v>106</v>
      </c>
      <c r="BA2" t="s">
        <v>107</v>
      </c>
      <c r="BB2" t="s">
        <v>108</v>
      </c>
      <c r="BC2" t="s">
        <v>109</v>
      </c>
      <c r="BD2" t="s">
        <v>110</v>
      </c>
      <c r="BE2" t="s">
        <v>111</v>
      </c>
      <c r="BF2" t="s">
        <v>112</v>
      </c>
      <c r="BG2" t="s">
        <v>113</v>
      </c>
      <c r="BH2" t="s">
        <v>114</v>
      </c>
      <c r="BI2" t="s">
        <v>115</v>
      </c>
      <c r="BJ2" t="s">
        <v>116</v>
      </c>
      <c r="BK2" t="s">
        <v>117</v>
      </c>
      <c r="BL2" t="s">
        <v>118</v>
      </c>
      <c r="BM2" t="s">
        <v>119</v>
      </c>
      <c r="BN2" t="s">
        <v>120</v>
      </c>
      <c r="BO2" t="s">
        <v>121</v>
      </c>
      <c r="BP2" t="s">
        <v>122</v>
      </c>
      <c r="BQ2" t="s">
        <v>123</v>
      </c>
      <c r="BR2" t="s">
        <v>124</v>
      </c>
      <c r="BS2" t="s">
        <v>125</v>
      </c>
      <c r="BT2" t="s">
        <v>126</v>
      </c>
      <c r="BU2" t="s">
        <v>127</v>
      </c>
      <c r="BV2" t="s">
        <v>128</v>
      </c>
      <c r="BW2" t="s">
        <v>129</v>
      </c>
      <c r="BX2" t="s">
        <v>130</v>
      </c>
      <c r="BY2" t="s">
        <v>131</v>
      </c>
      <c r="BZ2" t="s">
        <v>132</v>
      </c>
      <c r="CA2" t="s">
        <v>133</v>
      </c>
      <c r="CB2" t="s">
        <v>134</v>
      </c>
      <c r="CC2" t="s">
        <v>135</v>
      </c>
      <c r="CD2" t="s">
        <v>136</v>
      </c>
      <c r="CE2" t="s">
        <v>137</v>
      </c>
      <c r="CF2" t="s">
        <v>138</v>
      </c>
      <c r="CG2" t="s">
        <v>139</v>
      </c>
      <c r="CH2" t="s">
        <v>140</v>
      </c>
      <c r="CI2" t="s">
        <v>141</v>
      </c>
      <c r="CJ2" t="s">
        <v>142</v>
      </c>
      <c r="CK2" t="s">
        <v>143</v>
      </c>
      <c r="CL2" t="s">
        <v>144</v>
      </c>
      <c r="CM2" t="s">
        <v>145</v>
      </c>
      <c r="CN2" t="s">
        <v>146</v>
      </c>
      <c r="CO2" t="s">
        <v>147</v>
      </c>
      <c r="CP2" t="s">
        <v>148</v>
      </c>
      <c r="CQ2" t="s">
        <v>149</v>
      </c>
      <c r="CR2" t="s">
        <v>150</v>
      </c>
      <c r="CS2" t="s">
        <v>151</v>
      </c>
      <c r="CT2" t="s">
        <v>152</v>
      </c>
      <c r="CU2" t="s">
        <v>153</v>
      </c>
      <c r="CV2" t="s">
        <v>154</v>
      </c>
      <c r="CW2" t="s">
        <v>155</v>
      </c>
      <c r="CX2" t="s">
        <v>156</v>
      </c>
      <c r="CY2" t="s">
        <v>157</v>
      </c>
      <c r="CZ2" t="s">
        <v>158</v>
      </c>
      <c r="DA2" t="s">
        <v>159</v>
      </c>
    </row>
    <row r="3" spans="1:105" x14ac:dyDescent="0.2">
      <c r="A3">
        <v>2</v>
      </c>
      <c r="B3" s="26" t="s">
        <v>28</v>
      </c>
      <c r="C3" t="str">
        <f>VLOOKUP(A3,'264 ROIs'!A:AK,37,0)</f>
        <v>Uncertain</v>
      </c>
      <c r="D3" t="s">
        <v>28</v>
      </c>
      <c r="E3" t="str">
        <f t="shared" ref="E3:E66" si="0">IF(D3="Default mode","YES",IF(D3="Fronto-parietal Task Control","YES",IF(D3="Subcortical","YES","NO")))</f>
        <v>NO</v>
      </c>
      <c r="F3" t="str">
        <f t="shared" ref="F3:F66" si="1">IF(E3="YES",B3,"")</f>
        <v/>
      </c>
      <c r="G3" t="str">
        <f t="shared" ref="G3:G66" si="2">IF(F3="","",F3&amp;"_"&amp;A3)</f>
        <v/>
      </c>
      <c r="J3" t="str" cm="1">
        <f t="array" ref="J3">reversetexttocolumns(J2:DA2,",")</f>
        <v>DMode_74,DMode_75,DMode_76,DMode_77,DMode_78,DMode_79,DMode_80,DMode_81,DMode_82,DMode_83,DMode_86,DMode_87,DMode_88,DMode_89,DMode_90,DMode_91,DMode_92,DMode_93,DMode_94,DMode_95,DMode_96,DMode_97,DMode_98,DMode_99,DMode_100,DMode_101,DMode_102,DMode_103,DMode_104,DMode_105,DMode_106,DMode_107,DMode_108,DMode_109,DMode_110,DMode_111,DMode_112,DMode_113,DMode_114,DMode_115,DMode_116,DMode_117,DMode_118,DMode_119,DMode_120,DMode_121,DMode_122,DMode_123,DMode_124,DMode_125,DMode_126,DMode_127,DMode_128,DMode_129,DMode_130,DMode_131,DMode_137,DMode_139,FrontoParietal_174,FrontoParietal_175,FrontoParietal_176,FrontoParietal_177,FrontoParietal_178,FrontoParietal_179,FrontoParietal_180,FrontoParietal_181,FrontoParietal_186,FrontoParietal_187,FrontoParietal_188,FrontoParietal_189,FrontoParietal_190,FrontoParietal_191,FrontoParietal_192,FrontoParietal_193,FrontoParietal_194,FrontoParietal_195,FrontoParietal_196,FrontoParietal_197,FrontoParietal_198,FrontoParietal_199,FrontoParietal_200,FrontoParietal_201,FrontoParietal_202,Subcortical_222,Subcortical_223,Subcortical_224,Subcortical_225,Subcortical_226,Subcortical_227,Subcortical_228,Subcortical_229,Subcortical_230,Subcortical_231,Subcortical_232,Subcortical_233,Subcortical_234</v>
      </c>
    </row>
    <row r="4" spans="1:105" x14ac:dyDescent="0.2">
      <c r="A4">
        <v>3</v>
      </c>
      <c r="B4" s="26" t="s">
        <v>28</v>
      </c>
      <c r="C4" t="str">
        <f>VLOOKUP(A4,'264 ROIs'!A:AK,37,0)</f>
        <v>Uncertain</v>
      </c>
      <c r="D4" t="s">
        <v>28</v>
      </c>
      <c r="E4" t="str">
        <f t="shared" si="0"/>
        <v>NO</v>
      </c>
      <c r="F4" t="str">
        <f t="shared" si="1"/>
        <v/>
      </c>
      <c r="G4" t="str">
        <f t="shared" si="2"/>
        <v/>
      </c>
      <c r="J4" t="s">
        <v>160</v>
      </c>
    </row>
    <row r="5" spans="1:105" x14ac:dyDescent="0.2">
      <c r="A5">
        <v>4</v>
      </c>
      <c r="B5" s="26" t="s">
        <v>28</v>
      </c>
      <c r="C5" t="str">
        <f>VLOOKUP(A5,'264 ROIs'!A:AK,37,0)</f>
        <v>Uncertain</v>
      </c>
      <c r="D5" t="s">
        <v>28</v>
      </c>
      <c r="E5" t="str">
        <f t="shared" si="0"/>
        <v>NO</v>
      </c>
      <c r="F5" t="str">
        <f t="shared" si="1"/>
        <v/>
      </c>
      <c r="G5" t="str">
        <f t="shared" si="2"/>
        <v/>
      </c>
    </row>
    <row r="6" spans="1:105" x14ac:dyDescent="0.2">
      <c r="A6">
        <v>5</v>
      </c>
      <c r="B6" s="26" t="s">
        <v>28</v>
      </c>
      <c r="C6" t="str">
        <f>VLOOKUP(A6,'264 ROIs'!A:AK,37,0)</f>
        <v>Uncertain</v>
      </c>
      <c r="D6" t="s">
        <v>28</v>
      </c>
      <c r="E6" t="str">
        <f t="shared" si="0"/>
        <v>NO</v>
      </c>
      <c r="F6" t="str">
        <f t="shared" si="1"/>
        <v/>
      </c>
      <c r="G6" t="str">
        <f t="shared" si="2"/>
        <v/>
      </c>
    </row>
    <row r="7" spans="1:105" x14ac:dyDescent="0.2">
      <c r="A7">
        <v>6</v>
      </c>
      <c r="B7" s="26" t="s">
        <v>28</v>
      </c>
      <c r="C7" t="str">
        <f>VLOOKUP(A7,'264 ROIs'!A:AK,37,0)</f>
        <v>Uncertain</v>
      </c>
      <c r="D7" t="s">
        <v>28</v>
      </c>
      <c r="E7" t="str">
        <f t="shared" si="0"/>
        <v>NO</v>
      </c>
      <c r="F7" t="str">
        <f t="shared" si="1"/>
        <v/>
      </c>
      <c r="G7" t="str">
        <f t="shared" si="2"/>
        <v/>
      </c>
    </row>
    <row r="8" spans="1:105" x14ac:dyDescent="0.2">
      <c r="A8">
        <v>7</v>
      </c>
      <c r="B8" s="26" t="s">
        <v>28</v>
      </c>
      <c r="C8" t="str">
        <f>VLOOKUP(A8,'264 ROIs'!A:AK,37,0)</f>
        <v>Uncertain</v>
      </c>
      <c r="D8" t="s">
        <v>28</v>
      </c>
      <c r="E8" t="str">
        <f t="shared" si="0"/>
        <v>NO</v>
      </c>
      <c r="F8" t="str">
        <f t="shared" si="1"/>
        <v/>
      </c>
      <c r="G8" t="str">
        <f t="shared" si="2"/>
        <v/>
      </c>
    </row>
    <row r="9" spans="1:105" x14ac:dyDescent="0.2">
      <c r="A9">
        <v>8</v>
      </c>
      <c r="B9" s="26" t="s">
        <v>28</v>
      </c>
      <c r="C9" t="str">
        <f>VLOOKUP(A9,'264 ROIs'!A:AK,37,0)</f>
        <v>Uncertain</v>
      </c>
      <c r="D9" t="s">
        <v>28</v>
      </c>
      <c r="E9" t="str">
        <f t="shared" si="0"/>
        <v>NO</v>
      </c>
      <c r="F9" t="str">
        <f t="shared" si="1"/>
        <v/>
      </c>
      <c r="G9" t="str">
        <f t="shared" si="2"/>
        <v/>
      </c>
    </row>
    <row r="10" spans="1:105" x14ac:dyDescent="0.2">
      <c r="A10">
        <v>9</v>
      </c>
      <c r="B10" s="26" t="s">
        <v>28</v>
      </c>
      <c r="C10" t="str">
        <f>VLOOKUP(A10,'264 ROIs'!A:AK,37,0)</f>
        <v>Uncertain</v>
      </c>
      <c r="D10" t="s">
        <v>28</v>
      </c>
      <c r="E10" t="str">
        <f t="shared" si="0"/>
        <v>NO</v>
      </c>
      <c r="F10" t="str">
        <f t="shared" si="1"/>
        <v/>
      </c>
      <c r="G10" t="str">
        <f t="shared" si="2"/>
        <v/>
      </c>
    </row>
    <row r="11" spans="1:105" x14ac:dyDescent="0.2">
      <c r="A11">
        <v>10</v>
      </c>
      <c r="B11" s="26" t="s">
        <v>28</v>
      </c>
      <c r="C11" t="str">
        <f>VLOOKUP(A11,'264 ROIs'!A:AK,37,0)</f>
        <v>Uncertain</v>
      </c>
      <c r="D11" t="s">
        <v>28</v>
      </c>
      <c r="E11" t="str">
        <f t="shared" si="0"/>
        <v>NO</v>
      </c>
      <c r="F11" t="str">
        <f t="shared" si="1"/>
        <v/>
      </c>
      <c r="G11" t="str">
        <f t="shared" si="2"/>
        <v/>
      </c>
    </row>
    <row r="12" spans="1:105" x14ac:dyDescent="0.2">
      <c r="A12">
        <v>11</v>
      </c>
      <c r="B12" s="26" t="s">
        <v>28</v>
      </c>
      <c r="C12" t="str">
        <f>VLOOKUP(A12,'264 ROIs'!A:AK,37,0)</f>
        <v>Uncertain</v>
      </c>
      <c r="D12" t="s">
        <v>28</v>
      </c>
      <c r="E12" t="str">
        <f t="shared" si="0"/>
        <v>NO</v>
      </c>
      <c r="F12" t="str">
        <f t="shared" si="1"/>
        <v/>
      </c>
      <c r="G12" t="str">
        <f t="shared" si="2"/>
        <v/>
      </c>
    </row>
    <row r="13" spans="1:105" x14ac:dyDescent="0.2">
      <c r="A13">
        <v>12</v>
      </c>
      <c r="B13" s="26" t="s">
        <v>28</v>
      </c>
      <c r="C13" t="str">
        <f>VLOOKUP(A13,'264 ROIs'!A:AK,37,0)</f>
        <v>Uncertain</v>
      </c>
      <c r="D13" t="s">
        <v>28</v>
      </c>
      <c r="E13" t="str">
        <f t="shared" si="0"/>
        <v>NO</v>
      </c>
      <c r="F13" t="str">
        <f t="shared" si="1"/>
        <v/>
      </c>
      <c r="G13" t="str">
        <f t="shared" si="2"/>
        <v/>
      </c>
    </row>
    <row r="14" spans="1:105" x14ac:dyDescent="0.2">
      <c r="A14">
        <v>13</v>
      </c>
      <c r="B14" s="27" t="s">
        <v>36</v>
      </c>
      <c r="C14" t="e">
        <f>VLOOKUP(A14,'264 ROIs'!A:AK,37,0)</f>
        <v>#N/A</v>
      </c>
      <c r="D14" t="e">
        <v>#N/A</v>
      </c>
      <c r="E14" t="e">
        <f t="shared" si="0"/>
        <v>#N/A</v>
      </c>
      <c r="F14" t="e">
        <f t="shared" si="1"/>
        <v>#N/A</v>
      </c>
      <c r="G14" t="e">
        <f t="shared" si="2"/>
        <v>#N/A</v>
      </c>
    </row>
    <row r="15" spans="1:105" x14ac:dyDescent="0.2">
      <c r="A15">
        <v>14</v>
      </c>
      <c r="B15" s="27" t="s">
        <v>36</v>
      </c>
      <c r="C15" t="e">
        <f>VLOOKUP(A15,'264 ROIs'!A:AK,37,0)</f>
        <v>#N/A</v>
      </c>
      <c r="D15" t="e">
        <v>#N/A</v>
      </c>
      <c r="E15" t="e">
        <f t="shared" si="0"/>
        <v>#N/A</v>
      </c>
      <c r="F15" t="e">
        <f t="shared" si="1"/>
        <v>#N/A</v>
      </c>
      <c r="G15" t="e">
        <f t="shared" si="2"/>
        <v>#N/A</v>
      </c>
    </row>
    <row r="16" spans="1:105" x14ac:dyDescent="0.2">
      <c r="A16">
        <v>15</v>
      </c>
      <c r="B16" s="27" t="s">
        <v>36</v>
      </c>
      <c r="C16" t="e">
        <f>VLOOKUP(A16,'264 ROIs'!A:AK,37,0)</f>
        <v>#N/A</v>
      </c>
      <c r="D16" t="e">
        <v>#N/A</v>
      </c>
      <c r="E16" t="e">
        <f t="shared" si="0"/>
        <v>#N/A</v>
      </c>
      <c r="F16" t="e">
        <f t="shared" si="1"/>
        <v>#N/A</v>
      </c>
      <c r="G16" t="e">
        <f t="shared" si="2"/>
        <v>#N/A</v>
      </c>
    </row>
    <row r="17" spans="1:7" x14ac:dyDescent="0.2">
      <c r="A17">
        <v>16</v>
      </c>
      <c r="B17" s="27" t="s">
        <v>36</v>
      </c>
      <c r="C17" t="e">
        <f>VLOOKUP(A17,'264 ROIs'!A:AK,37,0)</f>
        <v>#N/A</v>
      </c>
      <c r="D17" t="e">
        <v>#N/A</v>
      </c>
      <c r="E17" t="e">
        <f t="shared" si="0"/>
        <v>#N/A</v>
      </c>
      <c r="F17" t="e">
        <f t="shared" si="1"/>
        <v>#N/A</v>
      </c>
      <c r="G17" t="e">
        <f t="shared" si="2"/>
        <v>#N/A</v>
      </c>
    </row>
    <row r="18" spans="1:7" x14ac:dyDescent="0.2">
      <c r="A18">
        <v>17</v>
      </c>
      <c r="B18" s="27" t="s">
        <v>36</v>
      </c>
      <c r="C18" t="e">
        <f>VLOOKUP(A18,'264 ROIs'!A:AK,37,0)</f>
        <v>#N/A</v>
      </c>
      <c r="D18" t="e">
        <v>#N/A</v>
      </c>
      <c r="E18" t="e">
        <f t="shared" si="0"/>
        <v>#N/A</v>
      </c>
      <c r="F18" t="e">
        <f t="shared" si="1"/>
        <v>#N/A</v>
      </c>
      <c r="G18" t="e">
        <f t="shared" si="2"/>
        <v>#N/A</v>
      </c>
    </row>
    <row r="19" spans="1:7" x14ac:dyDescent="0.2">
      <c r="A19">
        <v>18</v>
      </c>
      <c r="B19" s="27" t="s">
        <v>36</v>
      </c>
      <c r="C19" t="e">
        <f>VLOOKUP(A19,'264 ROIs'!A:AK,37,0)</f>
        <v>#N/A</v>
      </c>
      <c r="D19" t="e">
        <v>#N/A</v>
      </c>
      <c r="E19" t="e">
        <f t="shared" si="0"/>
        <v>#N/A</v>
      </c>
      <c r="F19" t="e">
        <f t="shared" si="1"/>
        <v>#N/A</v>
      </c>
      <c r="G19" t="e">
        <f t="shared" si="2"/>
        <v>#N/A</v>
      </c>
    </row>
    <row r="20" spans="1:7" x14ac:dyDescent="0.2">
      <c r="A20">
        <v>19</v>
      </c>
      <c r="B20" s="27" t="s">
        <v>36</v>
      </c>
      <c r="C20" t="e">
        <f>VLOOKUP(A20,'264 ROIs'!A:AK,37,0)</f>
        <v>#N/A</v>
      </c>
      <c r="D20" t="e">
        <v>#N/A</v>
      </c>
      <c r="E20" t="e">
        <f t="shared" si="0"/>
        <v>#N/A</v>
      </c>
      <c r="F20" t="e">
        <f t="shared" si="1"/>
        <v>#N/A</v>
      </c>
      <c r="G20" t="e">
        <f t="shared" si="2"/>
        <v>#N/A</v>
      </c>
    </row>
    <row r="21" spans="1:7" x14ac:dyDescent="0.2">
      <c r="A21">
        <v>20</v>
      </c>
      <c r="B21" s="27" t="s">
        <v>36</v>
      </c>
      <c r="C21" t="e">
        <f>VLOOKUP(A21,'264 ROIs'!A:AK,37,0)</f>
        <v>#N/A</v>
      </c>
      <c r="D21" t="e">
        <v>#N/A</v>
      </c>
      <c r="E21" t="e">
        <f t="shared" si="0"/>
        <v>#N/A</v>
      </c>
      <c r="F21" t="e">
        <f t="shared" si="1"/>
        <v>#N/A</v>
      </c>
      <c r="G21" t="e">
        <f t="shared" si="2"/>
        <v>#N/A</v>
      </c>
    </row>
    <row r="22" spans="1:7" x14ac:dyDescent="0.2">
      <c r="A22">
        <v>21</v>
      </c>
      <c r="B22" s="27" t="s">
        <v>36</v>
      </c>
      <c r="C22" t="e">
        <f>VLOOKUP(A22,'264 ROIs'!A:AK,37,0)</f>
        <v>#N/A</v>
      </c>
      <c r="D22" t="e">
        <v>#N/A</v>
      </c>
      <c r="E22" t="e">
        <f t="shared" si="0"/>
        <v>#N/A</v>
      </c>
      <c r="F22" t="e">
        <f t="shared" si="1"/>
        <v>#N/A</v>
      </c>
      <c r="G22" t="e">
        <f t="shared" si="2"/>
        <v>#N/A</v>
      </c>
    </row>
    <row r="23" spans="1:7" x14ac:dyDescent="0.2">
      <c r="A23">
        <v>22</v>
      </c>
      <c r="B23" s="27" t="s">
        <v>36</v>
      </c>
      <c r="C23" t="e">
        <f>VLOOKUP(A23,'264 ROIs'!A:AK,37,0)</f>
        <v>#N/A</v>
      </c>
      <c r="D23" t="e">
        <v>#N/A</v>
      </c>
      <c r="E23" t="e">
        <f t="shared" si="0"/>
        <v>#N/A</v>
      </c>
      <c r="F23" t="e">
        <f t="shared" si="1"/>
        <v>#N/A</v>
      </c>
      <c r="G23" t="e">
        <f t="shared" si="2"/>
        <v>#N/A</v>
      </c>
    </row>
    <row r="24" spans="1:7" x14ac:dyDescent="0.2">
      <c r="A24">
        <v>23</v>
      </c>
      <c r="B24" s="27" t="s">
        <v>36</v>
      </c>
      <c r="C24" t="e">
        <f>VLOOKUP(A24,'264 ROIs'!A:AK,37,0)</f>
        <v>#N/A</v>
      </c>
      <c r="D24" t="e">
        <v>#N/A</v>
      </c>
      <c r="E24" t="e">
        <f t="shared" si="0"/>
        <v>#N/A</v>
      </c>
      <c r="F24" t="e">
        <f t="shared" si="1"/>
        <v>#N/A</v>
      </c>
      <c r="G24" t="e">
        <f t="shared" si="2"/>
        <v>#N/A</v>
      </c>
    </row>
    <row r="25" spans="1:7" x14ac:dyDescent="0.2">
      <c r="A25">
        <v>24</v>
      </c>
      <c r="B25" s="27" t="s">
        <v>36</v>
      </c>
      <c r="C25" t="e">
        <f>VLOOKUP(A25,'264 ROIs'!A:AK,37,0)</f>
        <v>#N/A</v>
      </c>
      <c r="D25" t="e">
        <v>#N/A</v>
      </c>
      <c r="E25" t="e">
        <f t="shared" si="0"/>
        <v>#N/A</v>
      </c>
      <c r="F25" t="e">
        <f t="shared" si="1"/>
        <v>#N/A</v>
      </c>
      <c r="G25" t="e">
        <f t="shared" si="2"/>
        <v>#N/A</v>
      </c>
    </row>
    <row r="26" spans="1:7" x14ac:dyDescent="0.2">
      <c r="A26">
        <v>25</v>
      </c>
      <c r="B26" s="27" t="s">
        <v>36</v>
      </c>
      <c r="C26" t="e">
        <f>VLOOKUP(A26,'264 ROIs'!A:AK,37,0)</f>
        <v>#N/A</v>
      </c>
      <c r="D26" t="e">
        <v>#N/A</v>
      </c>
      <c r="E26" t="e">
        <f t="shared" si="0"/>
        <v>#N/A</v>
      </c>
      <c r="F26" t="e">
        <f t="shared" si="1"/>
        <v>#N/A</v>
      </c>
      <c r="G26" t="e">
        <f t="shared" si="2"/>
        <v>#N/A</v>
      </c>
    </row>
    <row r="27" spans="1:7" x14ac:dyDescent="0.2">
      <c r="A27">
        <v>26</v>
      </c>
      <c r="B27" s="27" t="s">
        <v>36</v>
      </c>
      <c r="C27" t="e">
        <f>VLOOKUP(A27,'264 ROIs'!A:AK,37,0)</f>
        <v>#N/A</v>
      </c>
      <c r="D27" t="e">
        <v>#N/A</v>
      </c>
      <c r="E27" t="e">
        <f t="shared" si="0"/>
        <v>#N/A</v>
      </c>
      <c r="F27" t="e">
        <f t="shared" si="1"/>
        <v>#N/A</v>
      </c>
      <c r="G27" t="e">
        <f t="shared" si="2"/>
        <v>#N/A</v>
      </c>
    </row>
    <row r="28" spans="1:7" x14ac:dyDescent="0.2">
      <c r="A28">
        <v>27</v>
      </c>
      <c r="B28" s="27" t="s">
        <v>36</v>
      </c>
      <c r="C28" t="e">
        <f>VLOOKUP(A28,'264 ROIs'!A:AK,37,0)</f>
        <v>#N/A</v>
      </c>
      <c r="D28" t="e">
        <v>#N/A</v>
      </c>
      <c r="E28" t="e">
        <f t="shared" si="0"/>
        <v>#N/A</v>
      </c>
      <c r="F28" t="e">
        <f t="shared" si="1"/>
        <v>#N/A</v>
      </c>
      <c r="G28" t="e">
        <f t="shared" si="2"/>
        <v>#N/A</v>
      </c>
    </row>
    <row r="29" spans="1:7" x14ac:dyDescent="0.2">
      <c r="A29">
        <v>28</v>
      </c>
      <c r="B29" s="27" t="s">
        <v>36</v>
      </c>
      <c r="C29" t="e">
        <f>VLOOKUP(A29,'264 ROIs'!A:AK,37,0)</f>
        <v>#N/A</v>
      </c>
      <c r="D29" t="e">
        <v>#N/A</v>
      </c>
      <c r="E29" t="e">
        <f t="shared" si="0"/>
        <v>#N/A</v>
      </c>
      <c r="F29" t="e">
        <f t="shared" si="1"/>
        <v>#N/A</v>
      </c>
      <c r="G29" t="e">
        <f t="shared" si="2"/>
        <v>#N/A</v>
      </c>
    </row>
    <row r="30" spans="1:7" x14ac:dyDescent="0.2">
      <c r="A30">
        <v>29</v>
      </c>
      <c r="B30" s="27" t="s">
        <v>36</v>
      </c>
      <c r="C30" t="e">
        <f>VLOOKUP(A30,'264 ROIs'!A:AK,37,0)</f>
        <v>#N/A</v>
      </c>
      <c r="D30" t="e">
        <v>#N/A</v>
      </c>
      <c r="E30" t="e">
        <f t="shared" si="0"/>
        <v>#N/A</v>
      </c>
      <c r="F30" t="e">
        <f t="shared" si="1"/>
        <v>#N/A</v>
      </c>
      <c r="G30" t="e">
        <f t="shared" si="2"/>
        <v>#N/A</v>
      </c>
    </row>
    <row r="31" spans="1:7" x14ac:dyDescent="0.2">
      <c r="A31">
        <v>30</v>
      </c>
      <c r="B31" s="27" t="s">
        <v>36</v>
      </c>
      <c r="C31" t="e">
        <f>VLOOKUP(A31,'264 ROIs'!A:AK,37,0)</f>
        <v>#N/A</v>
      </c>
      <c r="D31" t="e">
        <v>#N/A</v>
      </c>
      <c r="E31" t="e">
        <f t="shared" si="0"/>
        <v>#N/A</v>
      </c>
      <c r="F31" t="e">
        <f t="shared" si="1"/>
        <v>#N/A</v>
      </c>
      <c r="G31" t="e">
        <f t="shared" si="2"/>
        <v>#N/A</v>
      </c>
    </row>
    <row r="32" spans="1:7" x14ac:dyDescent="0.2">
      <c r="A32">
        <v>31</v>
      </c>
      <c r="B32" s="27" t="s">
        <v>36</v>
      </c>
      <c r="C32" t="e">
        <f>VLOOKUP(A32,'264 ROIs'!A:AK,37,0)</f>
        <v>#N/A</v>
      </c>
      <c r="D32" t="e">
        <v>#N/A</v>
      </c>
      <c r="E32" t="e">
        <f t="shared" si="0"/>
        <v>#N/A</v>
      </c>
      <c r="F32" t="e">
        <f t="shared" si="1"/>
        <v>#N/A</v>
      </c>
      <c r="G32" t="e">
        <f t="shared" si="2"/>
        <v>#N/A</v>
      </c>
    </row>
    <row r="33" spans="1:7" x14ac:dyDescent="0.2">
      <c r="A33">
        <v>32</v>
      </c>
      <c r="B33" s="27" t="s">
        <v>36</v>
      </c>
      <c r="C33" t="e">
        <f>VLOOKUP(A33,'264 ROIs'!A:AK,37,0)</f>
        <v>#N/A</v>
      </c>
      <c r="D33" t="e">
        <v>#N/A</v>
      </c>
      <c r="E33" t="e">
        <f t="shared" si="0"/>
        <v>#N/A</v>
      </c>
      <c r="F33" t="e">
        <f t="shared" si="1"/>
        <v>#N/A</v>
      </c>
      <c r="G33" t="e">
        <f t="shared" si="2"/>
        <v>#N/A</v>
      </c>
    </row>
    <row r="34" spans="1:7" x14ac:dyDescent="0.2">
      <c r="A34">
        <v>33</v>
      </c>
      <c r="B34" s="27" t="s">
        <v>36</v>
      </c>
      <c r="C34" t="e">
        <f>VLOOKUP(A34,'264 ROIs'!A:AK,37,0)</f>
        <v>#N/A</v>
      </c>
      <c r="D34" t="e">
        <v>#N/A</v>
      </c>
      <c r="E34" t="e">
        <f t="shared" si="0"/>
        <v>#N/A</v>
      </c>
      <c r="F34" t="e">
        <f t="shared" si="1"/>
        <v>#N/A</v>
      </c>
      <c r="G34" t="e">
        <f t="shared" si="2"/>
        <v>#N/A</v>
      </c>
    </row>
    <row r="35" spans="1:7" x14ac:dyDescent="0.2">
      <c r="A35">
        <v>34</v>
      </c>
      <c r="B35" s="27" t="s">
        <v>36</v>
      </c>
      <c r="C35" t="e">
        <f>VLOOKUP(A35,'264 ROIs'!A:AK,37,0)</f>
        <v>#N/A</v>
      </c>
      <c r="D35" t="e">
        <v>#N/A</v>
      </c>
      <c r="E35" t="e">
        <f t="shared" si="0"/>
        <v>#N/A</v>
      </c>
      <c r="F35" t="e">
        <f t="shared" si="1"/>
        <v>#N/A</v>
      </c>
      <c r="G35" t="e">
        <f t="shared" si="2"/>
        <v>#N/A</v>
      </c>
    </row>
    <row r="36" spans="1:7" x14ac:dyDescent="0.2">
      <c r="A36">
        <v>35</v>
      </c>
      <c r="B36" s="27" t="s">
        <v>36</v>
      </c>
      <c r="C36" t="e">
        <f>VLOOKUP(A36,'264 ROIs'!A:AK,37,0)</f>
        <v>#N/A</v>
      </c>
      <c r="D36" t="e">
        <v>#N/A</v>
      </c>
      <c r="E36" t="e">
        <f t="shared" si="0"/>
        <v>#N/A</v>
      </c>
      <c r="F36" t="e">
        <f t="shared" si="1"/>
        <v>#N/A</v>
      </c>
      <c r="G36" t="e">
        <f t="shared" si="2"/>
        <v>#N/A</v>
      </c>
    </row>
    <row r="37" spans="1:7" x14ac:dyDescent="0.2">
      <c r="A37">
        <v>36</v>
      </c>
      <c r="B37" s="27" t="s">
        <v>36</v>
      </c>
      <c r="C37" t="e">
        <f>VLOOKUP(A37,'264 ROIs'!A:AK,37,0)</f>
        <v>#N/A</v>
      </c>
      <c r="D37" t="e">
        <v>#N/A</v>
      </c>
      <c r="E37" t="e">
        <f t="shared" si="0"/>
        <v>#N/A</v>
      </c>
      <c r="F37" t="e">
        <f t="shared" si="1"/>
        <v>#N/A</v>
      </c>
      <c r="G37" t="e">
        <f t="shared" si="2"/>
        <v>#N/A</v>
      </c>
    </row>
    <row r="38" spans="1:7" x14ac:dyDescent="0.2">
      <c r="A38">
        <v>37</v>
      </c>
      <c r="B38" s="27" t="s">
        <v>36</v>
      </c>
      <c r="C38" t="e">
        <f>VLOOKUP(A38,'264 ROIs'!A:AK,37,0)</f>
        <v>#N/A</v>
      </c>
      <c r="D38" t="e">
        <v>#N/A</v>
      </c>
      <c r="E38" t="e">
        <f t="shared" si="0"/>
        <v>#N/A</v>
      </c>
      <c r="F38" t="e">
        <f t="shared" si="1"/>
        <v>#N/A</v>
      </c>
      <c r="G38" t="e">
        <f t="shared" si="2"/>
        <v>#N/A</v>
      </c>
    </row>
    <row r="39" spans="1:7" x14ac:dyDescent="0.2">
      <c r="A39">
        <v>38</v>
      </c>
      <c r="B39" s="27" t="s">
        <v>36</v>
      </c>
      <c r="C39" t="e">
        <f>VLOOKUP(A39,'264 ROIs'!A:AK,37,0)</f>
        <v>#N/A</v>
      </c>
      <c r="D39" t="e">
        <v>#N/A</v>
      </c>
      <c r="E39" t="e">
        <f t="shared" si="0"/>
        <v>#N/A</v>
      </c>
      <c r="F39" t="e">
        <f t="shared" si="1"/>
        <v>#N/A</v>
      </c>
      <c r="G39" t="e">
        <f t="shared" si="2"/>
        <v>#N/A</v>
      </c>
    </row>
    <row r="40" spans="1:7" x14ac:dyDescent="0.2">
      <c r="A40">
        <v>39</v>
      </c>
      <c r="B40" s="27" t="s">
        <v>36</v>
      </c>
      <c r="C40" t="e">
        <f>VLOOKUP(A40,'264 ROIs'!A:AK,37,0)</f>
        <v>#N/A</v>
      </c>
      <c r="D40" t="e">
        <v>#N/A</v>
      </c>
      <c r="E40" t="e">
        <f t="shared" si="0"/>
        <v>#N/A</v>
      </c>
      <c r="F40" t="e">
        <f t="shared" si="1"/>
        <v>#N/A</v>
      </c>
      <c r="G40" t="e">
        <f t="shared" si="2"/>
        <v>#N/A</v>
      </c>
    </row>
    <row r="41" spans="1:7" x14ac:dyDescent="0.2">
      <c r="A41">
        <v>40</v>
      </c>
      <c r="B41" s="27" t="s">
        <v>36</v>
      </c>
      <c r="C41" t="e">
        <f>VLOOKUP(A41,'264 ROIs'!A:AK,37,0)</f>
        <v>#N/A</v>
      </c>
      <c r="D41" t="e">
        <v>#N/A</v>
      </c>
      <c r="E41" t="e">
        <f t="shared" si="0"/>
        <v>#N/A</v>
      </c>
      <c r="F41" t="e">
        <f t="shared" si="1"/>
        <v>#N/A</v>
      </c>
      <c r="G41" t="e">
        <f t="shared" si="2"/>
        <v>#N/A</v>
      </c>
    </row>
    <row r="42" spans="1:7" x14ac:dyDescent="0.2">
      <c r="A42">
        <v>41</v>
      </c>
      <c r="B42" s="27" t="s">
        <v>36</v>
      </c>
      <c r="C42" t="e">
        <f>VLOOKUP(A42,'264 ROIs'!A:AK,37,0)</f>
        <v>#N/A</v>
      </c>
      <c r="D42" t="e">
        <v>#N/A</v>
      </c>
      <c r="E42" t="e">
        <f t="shared" si="0"/>
        <v>#N/A</v>
      </c>
      <c r="F42" t="e">
        <f t="shared" si="1"/>
        <v>#N/A</v>
      </c>
      <c r="G42" t="e">
        <f t="shared" si="2"/>
        <v>#N/A</v>
      </c>
    </row>
    <row r="43" spans="1:7" x14ac:dyDescent="0.2">
      <c r="A43">
        <v>42</v>
      </c>
      <c r="B43" s="27" t="s">
        <v>37</v>
      </c>
      <c r="C43" t="e">
        <f>VLOOKUP(A43,'264 ROIs'!A:AK,37,0)</f>
        <v>#N/A</v>
      </c>
      <c r="D43" t="e">
        <v>#N/A</v>
      </c>
      <c r="E43" t="e">
        <f t="shared" si="0"/>
        <v>#N/A</v>
      </c>
      <c r="F43" t="e">
        <f t="shared" si="1"/>
        <v>#N/A</v>
      </c>
      <c r="G43" t="e">
        <f t="shared" si="2"/>
        <v>#N/A</v>
      </c>
    </row>
    <row r="44" spans="1:7" x14ac:dyDescent="0.2">
      <c r="A44">
        <v>43</v>
      </c>
      <c r="B44" s="27" t="s">
        <v>37</v>
      </c>
      <c r="C44" t="e">
        <f>VLOOKUP(A44,'264 ROIs'!A:AK,37,0)</f>
        <v>#N/A</v>
      </c>
      <c r="D44" t="e">
        <v>#N/A</v>
      </c>
      <c r="E44" t="e">
        <f t="shared" si="0"/>
        <v>#N/A</v>
      </c>
      <c r="F44" t="e">
        <f t="shared" si="1"/>
        <v>#N/A</v>
      </c>
      <c r="G44" t="e">
        <f t="shared" si="2"/>
        <v>#N/A</v>
      </c>
    </row>
    <row r="45" spans="1:7" x14ac:dyDescent="0.2">
      <c r="A45">
        <v>44</v>
      </c>
      <c r="B45" s="27" t="s">
        <v>37</v>
      </c>
      <c r="C45" t="e">
        <f>VLOOKUP(A45,'264 ROIs'!A:AK,37,0)</f>
        <v>#N/A</v>
      </c>
      <c r="D45" t="e">
        <v>#N/A</v>
      </c>
      <c r="E45" t="e">
        <f t="shared" si="0"/>
        <v>#N/A</v>
      </c>
      <c r="F45" t="e">
        <f t="shared" si="1"/>
        <v>#N/A</v>
      </c>
      <c r="G45" t="e">
        <f t="shared" si="2"/>
        <v>#N/A</v>
      </c>
    </row>
    <row r="46" spans="1:7" x14ac:dyDescent="0.2">
      <c r="A46">
        <v>45</v>
      </c>
      <c r="B46" s="27" t="s">
        <v>37</v>
      </c>
      <c r="C46" t="e">
        <f>VLOOKUP(A46,'264 ROIs'!A:AK,37,0)</f>
        <v>#N/A</v>
      </c>
      <c r="D46" t="e">
        <v>#N/A</v>
      </c>
      <c r="E46" t="e">
        <f t="shared" si="0"/>
        <v>#N/A</v>
      </c>
      <c r="F46" t="e">
        <f t="shared" si="1"/>
        <v>#N/A</v>
      </c>
      <c r="G46" t="e">
        <f t="shared" si="2"/>
        <v>#N/A</v>
      </c>
    </row>
    <row r="47" spans="1:7" x14ac:dyDescent="0.2">
      <c r="A47">
        <v>46</v>
      </c>
      <c r="B47" s="27" t="s">
        <v>37</v>
      </c>
      <c r="C47" t="e">
        <f>VLOOKUP(A47,'264 ROIs'!A:AK,37,0)</f>
        <v>#N/A</v>
      </c>
      <c r="D47" t="e">
        <v>#N/A</v>
      </c>
      <c r="E47" t="e">
        <f t="shared" si="0"/>
        <v>#N/A</v>
      </c>
      <c r="F47" t="e">
        <f t="shared" si="1"/>
        <v>#N/A</v>
      </c>
      <c r="G47" t="e">
        <f t="shared" si="2"/>
        <v>#N/A</v>
      </c>
    </row>
    <row r="48" spans="1:7" x14ac:dyDescent="0.2">
      <c r="A48">
        <v>47</v>
      </c>
      <c r="B48" s="27" t="s">
        <v>38</v>
      </c>
      <c r="C48" t="str">
        <f>VLOOKUP(A48,'264 ROIs'!A:AK,37,0)</f>
        <v>Cingulo-opercular Task Control</v>
      </c>
      <c r="D48" t="s">
        <v>52</v>
      </c>
      <c r="E48" t="str">
        <f t="shared" si="0"/>
        <v>NO</v>
      </c>
      <c r="F48" t="str">
        <f t="shared" si="1"/>
        <v/>
      </c>
      <c r="G48" t="str">
        <f t="shared" si="2"/>
        <v/>
      </c>
    </row>
    <row r="49" spans="1:7" x14ac:dyDescent="0.2">
      <c r="A49">
        <v>48</v>
      </c>
      <c r="B49" s="27" t="s">
        <v>38</v>
      </c>
      <c r="C49" t="str">
        <f>VLOOKUP(A49,'264 ROIs'!A:AK,37,0)</f>
        <v>Cingulo-opercular Task Control</v>
      </c>
      <c r="D49" t="s">
        <v>52</v>
      </c>
      <c r="E49" t="str">
        <f t="shared" si="0"/>
        <v>NO</v>
      </c>
      <c r="F49" t="str">
        <f t="shared" si="1"/>
        <v/>
      </c>
      <c r="G49" t="str">
        <f t="shared" si="2"/>
        <v/>
      </c>
    </row>
    <row r="50" spans="1:7" x14ac:dyDescent="0.2">
      <c r="A50">
        <v>49</v>
      </c>
      <c r="B50" s="27" t="s">
        <v>38</v>
      </c>
      <c r="C50" t="str">
        <f>VLOOKUP(A50,'264 ROIs'!A:AK,37,0)</f>
        <v>Cingulo-opercular Task Control</v>
      </c>
      <c r="D50" t="s">
        <v>52</v>
      </c>
      <c r="E50" t="str">
        <f t="shared" si="0"/>
        <v>NO</v>
      </c>
      <c r="F50" t="str">
        <f t="shared" si="1"/>
        <v/>
      </c>
      <c r="G50" t="str">
        <f t="shared" si="2"/>
        <v/>
      </c>
    </row>
    <row r="51" spans="1:7" x14ac:dyDescent="0.2">
      <c r="A51">
        <v>50</v>
      </c>
      <c r="B51" s="27" t="s">
        <v>38</v>
      </c>
      <c r="C51" t="str">
        <f>VLOOKUP(A51,'264 ROIs'!A:AK,37,0)</f>
        <v>Cingulo-opercular Task Control</v>
      </c>
      <c r="D51" t="s">
        <v>52</v>
      </c>
      <c r="E51" t="str">
        <f t="shared" si="0"/>
        <v>NO</v>
      </c>
      <c r="F51" t="str">
        <f t="shared" si="1"/>
        <v/>
      </c>
      <c r="G51" t="str">
        <f t="shared" si="2"/>
        <v/>
      </c>
    </row>
    <row r="52" spans="1:7" x14ac:dyDescent="0.2">
      <c r="A52">
        <v>51</v>
      </c>
      <c r="B52" s="27" t="s">
        <v>38</v>
      </c>
      <c r="C52" t="str">
        <f>VLOOKUP(A52,'264 ROIs'!A:AK,37,0)</f>
        <v>Cingulo-opercular Task Control</v>
      </c>
      <c r="D52" t="s">
        <v>52</v>
      </c>
      <c r="E52" t="str">
        <f t="shared" si="0"/>
        <v>NO</v>
      </c>
      <c r="F52" t="str">
        <f t="shared" si="1"/>
        <v/>
      </c>
      <c r="G52" t="str">
        <f t="shared" si="2"/>
        <v/>
      </c>
    </row>
    <row r="53" spans="1:7" x14ac:dyDescent="0.2">
      <c r="A53">
        <v>52</v>
      </c>
      <c r="B53" s="27" t="s">
        <v>38</v>
      </c>
      <c r="C53" t="str">
        <f>VLOOKUP(A53,'264 ROIs'!A:AK,37,0)</f>
        <v>Cingulo-opercular Task Control</v>
      </c>
      <c r="D53" t="s">
        <v>52</v>
      </c>
      <c r="E53" t="str">
        <f t="shared" si="0"/>
        <v>NO</v>
      </c>
      <c r="F53" t="str">
        <f t="shared" si="1"/>
        <v/>
      </c>
      <c r="G53" t="str">
        <f t="shared" si="2"/>
        <v/>
      </c>
    </row>
    <row r="54" spans="1:7" x14ac:dyDescent="0.2">
      <c r="A54">
        <v>53</v>
      </c>
      <c r="B54" s="27" t="s">
        <v>38</v>
      </c>
      <c r="C54" t="str">
        <f>VLOOKUP(A54,'264 ROIs'!A:AK,37,0)</f>
        <v>Cingulo-opercular Task Control</v>
      </c>
      <c r="D54" t="s">
        <v>52</v>
      </c>
      <c r="E54" t="str">
        <f t="shared" si="0"/>
        <v>NO</v>
      </c>
      <c r="F54" t="str">
        <f t="shared" si="1"/>
        <v/>
      </c>
      <c r="G54" t="str">
        <f t="shared" si="2"/>
        <v/>
      </c>
    </row>
    <row r="55" spans="1:7" x14ac:dyDescent="0.2">
      <c r="A55">
        <v>54</v>
      </c>
      <c r="B55" s="27" t="s">
        <v>38</v>
      </c>
      <c r="C55" t="str">
        <f>VLOOKUP(A55,'264 ROIs'!A:AK,37,0)</f>
        <v>Cingulo-opercular Task Control</v>
      </c>
      <c r="D55" t="s">
        <v>52</v>
      </c>
      <c r="E55" t="str">
        <f t="shared" si="0"/>
        <v>NO</v>
      </c>
      <c r="F55" t="str">
        <f t="shared" si="1"/>
        <v/>
      </c>
      <c r="G55" t="str">
        <f t="shared" si="2"/>
        <v/>
      </c>
    </row>
    <row r="56" spans="1:7" x14ac:dyDescent="0.2">
      <c r="A56">
        <v>55</v>
      </c>
      <c r="B56" s="27" t="s">
        <v>38</v>
      </c>
      <c r="C56" t="str">
        <f>VLOOKUP(A56,'264 ROIs'!A:AK,37,0)</f>
        <v>Cingulo-opercular Task Control</v>
      </c>
      <c r="D56" t="s">
        <v>52</v>
      </c>
      <c r="E56" t="str">
        <f t="shared" si="0"/>
        <v>NO</v>
      </c>
      <c r="F56" t="str">
        <f t="shared" si="1"/>
        <v/>
      </c>
      <c r="G56" t="str">
        <f t="shared" si="2"/>
        <v/>
      </c>
    </row>
    <row r="57" spans="1:7" x14ac:dyDescent="0.2">
      <c r="A57">
        <v>56</v>
      </c>
      <c r="B57" s="27" t="s">
        <v>38</v>
      </c>
      <c r="C57" t="str">
        <f>VLOOKUP(A57,'264 ROIs'!A:AK,37,0)</f>
        <v>Cingulo-opercular Task Control</v>
      </c>
      <c r="D57" t="s">
        <v>52</v>
      </c>
      <c r="E57" t="str">
        <f t="shared" si="0"/>
        <v>NO</v>
      </c>
      <c r="F57" t="str">
        <f t="shared" si="1"/>
        <v/>
      </c>
      <c r="G57" t="str">
        <f t="shared" si="2"/>
        <v/>
      </c>
    </row>
    <row r="58" spans="1:7" x14ac:dyDescent="0.2">
      <c r="A58">
        <v>57</v>
      </c>
      <c r="B58" s="27" t="s">
        <v>38</v>
      </c>
      <c r="C58" t="str">
        <f>VLOOKUP(A58,'264 ROIs'!A:AK,37,0)</f>
        <v>Cingulo-opercular Task Control</v>
      </c>
      <c r="D58" t="s">
        <v>52</v>
      </c>
      <c r="E58" t="str">
        <f t="shared" si="0"/>
        <v>NO</v>
      </c>
      <c r="F58" t="str">
        <f t="shared" si="1"/>
        <v/>
      </c>
      <c r="G58" t="str">
        <f t="shared" si="2"/>
        <v/>
      </c>
    </row>
    <row r="59" spans="1:7" x14ac:dyDescent="0.2">
      <c r="A59">
        <v>58</v>
      </c>
      <c r="B59" s="27" t="s">
        <v>38</v>
      </c>
      <c r="C59" t="str">
        <f>VLOOKUP(A59,'264 ROIs'!A:AK,37,0)</f>
        <v>Cingulo-opercular Task Control</v>
      </c>
      <c r="D59" t="s">
        <v>52</v>
      </c>
      <c r="E59" t="str">
        <f t="shared" si="0"/>
        <v>NO</v>
      </c>
      <c r="F59" t="str">
        <f t="shared" si="1"/>
        <v/>
      </c>
      <c r="G59" t="str">
        <f t="shared" si="2"/>
        <v/>
      </c>
    </row>
    <row r="60" spans="1:7" x14ac:dyDescent="0.2">
      <c r="A60">
        <v>59</v>
      </c>
      <c r="B60" s="27" t="s">
        <v>38</v>
      </c>
      <c r="C60" t="str">
        <f>VLOOKUP(A60,'264 ROIs'!A:AK,37,0)</f>
        <v>Cingulo-opercular Task Control</v>
      </c>
      <c r="D60" t="s">
        <v>52</v>
      </c>
      <c r="E60" t="str">
        <f t="shared" si="0"/>
        <v>NO</v>
      </c>
      <c r="F60" t="str">
        <f t="shared" si="1"/>
        <v/>
      </c>
      <c r="G60" t="str">
        <f t="shared" si="2"/>
        <v/>
      </c>
    </row>
    <row r="61" spans="1:7" x14ac:dyDescent="0.2">
      <c r="A61">
        <v>60</v>
      </c>
      <c r="B61" s="27" t="s">
        <v>38</v>
      </c>
      <c r="C61" t="str">
        <f>VLOOKUP(A61,'264 ROIs'!A:AK,37,0)</f>
        <v>Cingulo-opercular Task Control</v>
      </c>
      <c r="D61" t="s">
        <v>52</v>
      </c>
      <c r="E61" t="str">
        <f t="shared" si="0"/>
        <v>NO</v>
      </c>
      <c r="F61" t="str">
        <f t="shared" si="1"/>
        <v/>
      </c>
      <c r="G61" t="str">
        <f t="shared" si="2"/>
        <v/>
      </c>
    </row>
    <row r="62" spans="1:7" x14ac:dyDescent="0.2">
      <c r="A62">
        <v>61</v>
      </c>
      <c r="B62" s="26" t="s">
        <v>39</v>
      </c>
      <c r="C62" t="e">
        <f>VLOOKUP(A62,'264 ROIs'!A:AK,37,0)</f>
        <v>#N/A</v>
      </c>
      <c r="D62" t="e">
        <v>#N/A</v>
      </c>
      <c r="E62" t="e">
        <f t="shared" si="0"/>
        <v>#N/A</v>
      </c>
      <c r="F62" t="e">
        <f t="shared" si="1"/>
        <v>#N/A</v>
      </c>
      <c r="G62" t="e">
        <f t="shared" si="2"/>
        <v>#N/A</v>
      </c>
    </row>
    <row r="63" spans="1:7" x14ac:dyDescent="0.2">
      <c r="A63">
        <v>62</v>
      </c>
      <c r="B63" s="26" t="s">
        <v>39</v>
      </c>
      <c r="C63" t="e">
        <f>VLOOKUP(A63,'264 ROIs'!A:AK,37,0)</f>
        <v>#N/A</v>
      </c>
      <c r="D63" t="e">
        <v>#N/A</v>
      </c>
      <c r="E63" t="e">
        <f t="shared" si="0"/>
        <v>#N/A</v>
      </c>
      <c r="F63" t="e">
        <f t="shared" si="1"/>
        <v>#N/A</v>
      </c>
      <c r="G63" t="e">
        <f t="shared" si="2"/>
        <v>#N/A</v>
      </c>
    </row>
    <row r="64" spans="1:7" x14ac:dyDescent="0.2">
      <c r="A64">
        <v>63</v>
      </c>
      <c r="B64" s="26" t="s">
        <v>39</v>
      </c>
      <c r="C64" t="e">
        <f>VLOOKUP(A64,'264 ROIs'!A:AK,37,0)</f>
        <v>#N/A</v>
      </c>
      <c r="D64" t="e">
        <v>#N/A</v>
      </c>
      <c r="E64" t="e">
        <f t="shared" si="0"/>
        <v>#N/A</v>
      </c>
      <c r="F64" t="e">
        <f t="shared" si="1"/>
        <v>#N/A</v>
      </c>
      <c r="G64" t="e">
        <f t="shared" si="2"/>
        <v>#N/A</v>
      </c>
    </row>
    <row r="65" spans="1:9" x14ac:dyDescent="0.2">
      <c r="A65">
        <v>64</v>
      </c>
      <c r="B65" s="26" t="s">
        <v>39</v>
      </c>
      <c r="C65" t="e">
        <f>VLOOKUP(A65,'264 ROIs'!A:AK,37,0)</f>
        <v>#N/A</v>
      </c>
      <c r="D65" t="e">
        <v>#N/A</v>
      </c>
      <c r="E65" t="e">
        <f t="shared" si="0"/>
        <v>#N/A</v>
      </c>
      <c r="F65" t="e">
        <f t="shared" si="1"/>
        <v>#N/A</v>
      </c>
      <c r="G65" t="e">
        <f t="shared" si="2"/>
        <v>#N/A</v>
      </c>
    </row>
    <row r="66" spans="1:9" x14ac:dyDescent="0.2">
      <c r="A66">
        <v>65</v>
      </c>
      <c r="B66" s="26" t="s">
        <v>39</v>
      </c>
      <c r="C66" t="e">
        <f>VLOOKUP(A66,'264 ROIs'!A:AK,37,0)</f>
        <v>#N/A</v>
      </c>
      <c r="D66" t="e">
        <v>#N/A</v>
      </c>
      <c r="E66" t="e">
        <f t="shared" si="0"/>
        <v>#N/A</v>
      </c>
      <c r="F66" t="e">
        <f t="shared" si="1"/>
        <v>#N/A</v>
      </c>
      <c r="G66" t="e">
        <f t="shared" si="2"/>
        <v>#N/A</v>
      </c>
    </row>
    <row r="67" spans="1:9" x14ac:dyDescent="0.2">
      <c r="A67">
        <v>66</v>
      </c>
      <c r="B67" s="26" t="s">
        <v>39</v>
      </c>
      <c r="C67" t="e">
        <f>VLOOKUP(A67,'264 ROIs'!A:AK,37,0)</f>
        <v>#N/A</v>
      </c>
      <c r="D67" t="e">
        <v>#N/A</v>
      </c>
      <c r="E67" t="e">
        <f t="shared" ref="E67:E130" si="3">IF(D67="Default mode","YES",IF(D67="Fronto-parietal Task Control","YES",IF(D67="Subcortical","YES","NO")))</f>
        <v>#N/A</v>
      </c>
      <c r="F67" t="e">
        <f t="shared" ref="F67:F130" si="4">IF(E67="YES",B67,"")</f>
        <v>#N/A</v>
      </c>
      <c r="G67" t="e">
        <f t="shared" ref="G67:G130" si="5">IF(F67="","",F67&amp;"_"&amp;A67)</f>
        <v>#N/A</v>
      </c>
    </row>
    <row r="68" spans="1:9" x14ac:dyDescent="0.2">
      <c r="A68">
        <v>67</v>
      </c>
      <c r="B68" s="26" t="s">
        <v>39</v>
      </c>
      <c r="C68" t="e">
        <f>VLOOKUP(A68,'264 ROIs'!A:AK,37,0)</f>
        <v>#N/A</v>
      </c>
      <c r="D68" t="e">
        <v>#N/A</v>
      </c>
      <c r="E68" t="e">
        <f t="shared" si="3"/>
        <v>#N/A</v>
      </c>
      <c r="F68" t="e">
        <f t="shared" si="4"/>
        <v>#N/A</v>
      </c>
      <c r="G68" t="e">
        <f t="shared" si="5"/>
        <v>#N/A</v>
      </c>
    </row>
    <row r="69" spans="1:9" x14ac:dyDescent="0.2">
      <c r="A69">
        <v>68</v>
      </c>
      <c r="B69" s="26" t="s">
        <v>39</v>
      </c>
      <c r="C69" t="e">
        <f>VLOOKUP(A69,'264 ROIs'!A:AK,37,0)</f>
        <v>#N/A</v>
      </c>
      <c r="D69" t="e">
        <v>#N/A</v>
      </c>
      <c r="E69" t="e">
        <f t="shared" si="3"/>
        <v>#N/A</v>
      </c>
      <c r="F69" t="e">
        <f t="shared" si="4"/>
        <v>#N/A</v>
      </c>
      <c r="G69" t="e">
        <f t="shared" si="5"/>
        <v>#N/A</v>
      </c>
    </row>
    <row r="70" spans="1:9" x14ac:dyDescent="0.2">
      <c r="A70">
        <v>69</v>
      </c>
      <c r="B70" s="26" t="s">
        <v>39</v>
      </c>
      <c r="C70" t="e">
        <f>VLOOKUP(A70,'264 ROIs'!A:AK,37,0)</f>
        <v>#N/A</v>
      </c>
      <c r="D70" t="e">
        <v>#N/A</v>
      </c>
      <c r="E70" t="e">
        <f t="shared" si="3"/>
        <v>#N/A</v>
      </c>
      <c r="F70" t="e">
        <f t="shared" si="4"/>
        <v>#N/A</v>
      </c>
      <c r="G70" t="e">
        <f t="shared" si="5"/>
        <v>#N/A</v>
      </c>
    </row>
    <row r="71" spans="1:9" x14ac:dyDescent="0.2">
      <c r="A71">
        <v>70</v>
      </c>
      <c r="B71" s="26" t="s">
        <v>39</v>
      </c>
      <c r="C71" t="e">
        <f>VLOOKUP(A71,'264 ROIs'!A:AK,37,0)</f>
        <v>#N/A</v>
      </c>
      <c r="D71" t="e">
        <v>#N/A</v>
      </c>
      <c r="E71" t="e">
        <f t="shared" si="3"/>
        <v>#N/A</v>
      </c>
      <c r="F71" t="e">
        <f t="shared" si="4"/>
        <v>#N/A</v>
      </c>
      <c r="G71" t="e">
        <f t="shared" si="5"/>
        <v>#N/A</v>
      </c>
    </row>
    <row r="72" spans="1:9" x14ac:dyDescent="0.2">
      <c r="A72">
        <v>71</v>
      </c>
      <c r="B72" s="26" t="s">
        <v>39</v>
      </c>
      <c r="C72" t="e">
        <f>VLOOKUP(A72,'264 ROIs'!A:AK,37,0)</f>
        <v>#N/A</v>
      </c>
      <c r="D72" t="e">
        <v>#N/A</v>
      </c>
      <c r="E72" t="e">
        <f t="shared" si="3"/>
        <v>#N/A</v>
      </c>
      <c r="F72" t="e">
        <f t="shared" si="4"/>
        <v>#N/A</v>
      </c>
      <c r="G72" t="e">
        <f t="shared" si="5"/>
        <v>#N/A</v>
      </c>
    </row>
    <row r="73" spans="1:9" x14ac:dyDescent="0.2">
      <c r="A73">
        <v>72</v>
      </c>
      <c r="B73" s="26" t="s">
        <v>39</v>
      </c>
      <c r="C73" t="e">
        <f>VLOOKUP(A73,'264 ROIs'!A:AK,37,0)</f>
        <v>#N/A</v>
      </c>
      <c r="D73" t="e">
        <v>#N/A</v>
      </c>
      <c r="E73" t="e">
        <f t="shared" si="3"/>
        <v>#N/A</v>
      </c>
      <c r="F73" t="e">
        <f t="shared" si="4"/>
        <v>#N/A</v>
      </c>
      <c r="G73" t="e">
        <f t="shared" si="5"/>
        <v>#N/A</v>
      </c>
    </row>
    <row r="74" spans="1:9" x14ac:dyDescent="0.2">
      <c r="A74">
        <v>73</v>
      </c>
      <c r="B74" s="26" t="s">
        <v>39</v>
      </c>
      <c r="C74" t="e">
        <f>VLOOKUP(A74,'264 ROIs'!A:AK,37,0)</f>
        <v>#N/A</v>
      </c>
      <c r="D74" t="e">
        <v>#N/A</v>
      </c>
      <c r="E74" t="e">
        <f t="shared" si="3"/>
        <v>#N/A</v>
      </c>
      <c r="F74" t="e">
        <f t="shared" si="4"/>
        <v>#N/A</v>
      </c>
      <c r="G74" t="e">
        <f t="shared" si="5"/>
        <v>#N/A</v>
      </c>
    </row>
    <row r="75" spans="1:9" x14ac:dyDescent="0.2">
      <c r="A75">
        <v>74</v>
      </c>
      <c r="B75" s="27" t="s">
        <v>40</v>
      </c>
      <c r="C75" t="str">
        <f>VLOOKUP(A75,'264 ROIs'!A:AK,37,0)</f>
        <v>Default mode</v>
      </c>
      <c r="D75" t="s">
        <v>20</v>
      </c>
      <c r="E75" t="str">
        <f t="shared" si="3"/>
        <v>YES</v>
      </c>
      <c r="F75" t="str">
        <f t="shared" si="4"/>
        <v>DMode</v>
      </c>
      <c r="G75" t="str">
        <f t="shared" si="5"/>
        <v>DMode_74</v>
      </c>
      <c r="I75" t="s">
        <v>64</v>
      </c>
    </row>
    <row r="76" spans="1:9" x14ac:dyDescent="0.2">
      <c r="A76">
        <v>75</v>
      </c>
      <c r="B76" s="27" t="s">
        <v>40</v>
      </c>
      <c r="C76" t="str">
        <f>VLOOKUP(A76,'264 ROIs'!A:AK,37,0)</f>
        <v>Default mode</v>
      </c>
      <c r="D76" t="s">
        <v>20</v>
      </c>
      <c r="E76" t="str">
        <f t="shared" si="3"/>
        <v>YES</v>
      </c>
      <c r="F76" t="str">
        <f t="shared" si="4"/>
        <v>DMode</v>
      </c>
      <c r="G76" t="str">
        <f t="shared" si="5"/>
        <v>DMode_75</v>
      </c>
      <c r="I76" t="s">
        <v>65</v>
      </c>
    </row>
    <row r="77" spans="1:9" x14ac:dyDescent="0.2">
      <c r="A77">
        <v>76</v>
      </c>
      <c r="B77" s="27" t="s">
        <v>40</v>
      </c>
      <c r="C77" t="str">
        <f>VLOOKUP(A77,'264 ROIs'!A:AK,37,0)</f>
        <v>Default mode</v>
      </c>
      <c r="D77" t="s">
        <v>20</v>
      </c>
      <c r="E77" t="str">
        <f t="shared" si="3"/>
        <v>YES</v>
      </c>
      <c r="F77" t="str">
        <f t="shared" si="4"/>
        <v>DMode</v>
      </c>
      <c r="G77" t="str">
        <f t="shared" si="5"/>
        <v>DMode_76</v>
      </c>
      <c r="I77" t="s">
        <v>66</v>
      </c>
    </row>
    <row r="78" spans="1:9" x14ac:dyDescent="0.2">
      <c r="A78">
        <v>77</v>
      </c>
      <c r="B78" s="27" t="s">
        <v>40</v>
      </c>
      <c r="C78" t="str">
        <f>VLOOKUP(A78,'264 ROIs'!A:AK,37,0)</f>
        <v>Default mode</v>
      </c>
      <c r="D78" t="s">
        <v>20</v>
      </c>
      <c r="E78" t="str">
        <f t="shared" si="3"/>
        <v>YES</v>
      </c>
      <c r="F78" t="str">
        <f t="shared" si="4"/>
        <v>DMode</v>
      </c>
      <c r="G78" t="str">
        <f t="shared" si="5"/>
        <v>DMode_77</v>
      </c>
      <c r="I78" t="s">
        <v>67</v>
      </c>
    </row>
    <row r="79" spans="1:9" x14ac:dyDescent="0.2">
      <c r="A79">
        <v>78</v>
      </c>
      <c r="B79" s="27" t="s">
        <v>40</v>
      </c>
      <c r="C79" t="str">
        <f>VLOOKUP(A79,'264 ROIs'!A:AK,37,0)</f>
        <v>Default mode</v>
      </c>
      <c r="D79" t="s">
        <v>20</v>
      </c>
      <c r="E79" t="str">
        <f t="shared" si="3"/>
        <v>YES</v>
      </c>
      <c r="F79" t="str">
        <f t="shared" si="4"/>
        <v>DMode</v>
      </c>
      <c r="G79" t="str">
        <f t="shared" si="5"/>
        <v>DMode_78</v>
      </c>
      <c r="I79" t="s">
        <v>68</v>
      </c>
    </row>
    <row r="80" spans="1:9" x14ac:dyDescent="0.2">
      <c r="A80">
        <v>79</v>
      </c>
      <c r="B80" s="27" t="s">
        <v>40</v>
      </c>
      <c r="C80" t="str">
        <f>VLOOKUP(A80,'264 ROIs'!A:AK,37,0)</f>
        <v>Default mode</v>
      </c>
      <c r="D80" t="s">
        <v>20</v>
      </c>
      <c r="E80" t="str">
        <f t="shared" si="3"/>
        <v>YES</v>
      </c>
      <c r="F80" t="str">
        <f t="shared" si="4"/>
        <v>DMode</v>
      </c>
      <c r="G80" t="str">
        <f t="shared" si="5"/>
        <v>DMode_79</v>
      </c>
      <c r="I80" t="s">
        <v>69</v>
      </c>
    </row>
    <row r="81" spans="1:9" x14ac:dyDescent="0.2">
      <c r="A81">
        <v>80</v>
      </c>
      <c r="B81" s="27" t="s">
        <v>40</v>
      </c>
      <c r="C81" t="str">
        <f>VLOOKUP(A81,'264 ROIs'!A:AK,37,0)</f>
        <v>Default mode</v>
      </c>
      <c r="D81" t="s">
        <v>20</v>
      </c>
      <c r="E81" t="str">
        <f t="shared" si="3"/>
        <v>YES</v>
      </c>
      <c r="F81" t="str">
        <f t="shared" si="4"/>
        <v>DMode</v>
      </c>
      <c r="G81" t="str">
        <f t="shared" si="5"/>
        <v>DMode_80</v>
      </c>
      <c r="I81" t="s">
        <v>70</v>
      </c>
    </row>
    <row r="82" spans="1:9" x14ac:dyDescent="0.2">
      <c r="A82">
        <v>81</v>
      </c>
      <c r="B82" s="27" t="s">
        <v>40</v>
      </c>
      <c r="C82" t="str">
        <f>VLOOKUP(A82,'264 ROIs'!A:AK,37,0)</f>
        <v>Default mode</v>
      </c>
      <c r="D82" t="s">
        <v>20</v>
      </c>
      <c r="E82" t="str">
        <f t="shared" si="3"/>
        <v>YES</v>
      </c>
      <c r="F82" t="str">
        <f t="shared" si="4"/>
        <v>DMode</v>
      </c>
      <c r="G82" t="str">
        <f t="shared" si="5"/>
        <v>DMode_81</v>
      </c>
      <c r="I82" t="s">
        <v>71</v>
      </c>
    </row>
    <row r="83" spans="1:9" x14ac:dyDescent="0.2">
      <c r="A83">
        <v>82</v>
      </c>
      <c r="B83" s="27" t="s">
        <v>40</v>
      </c>
      <c r="C83" t="str">
        <f>VLOOKUP(A83,'264 ROIs'!A:AK,37,0)</f>
        <v>Default mode</v>
      </c>
      <c r="D83" t="s">
        <v>20</v>
      </c>
      <c r="E83" t="str">
        <f t="shared" si="3"/>
        <v>YES</v>
      </c>
      <c r="F83" t="str">
        <f t="shared" si="4"/>
        <v>DMode</v>
      </c>
      <c r="G83" t="str">
        <f t="shared" si="5"/>
        <v>DMode_82</v>
      </c>
      <c r="I83" t="s">
        <v>72</v>
      </c>
    </row>
    <row r="84" spans="1:9" x14ac:dyDescent="0.2">
      <c r="A84">
        <v>83</v>
      </c>
      <c r="B84" s="27" t="s">
        <v>40</v>
      </c>
      <c r="C84" t="str">
        <f>VLOOKUP(A84,'264 ROIs'!A:AK,37,0)</f>
        <v>Default mode</v>
      </c>
      <c r="D84" t="s">
        <v>20</v>
      </c>
      <c r="E84" t="str">
        <f t="shared" si="3"/>
        <v>YES</v>
      </c>
      <c r="F84" t="str">
        <f t="shared" si="4"/>
        <v>DMode</v>
      </c>
      <c r="G84" t="str">
        <f t="shared" si="5"/>
        <v>DMode_83</v>
      </c>
      <c r="I84" t="s">
        <v>73</v>
      </c>
    </row>
    <row r="85" spans="1:9" x14ac:dyDescent="0.2">
      <c r="A85">
        <v>84</v>
      </c>
      <c r="B85" s="26" t="s">
        <v>28</v>
      </c>
      <c r="C85" t="str">
        <f>VLOOKUP(A85,'264 ROIs'!A:AK,37,0)</f>
        <v>Uncertain</v>
      </c>
      <c r="D85" t="s">
        <v>28</v>
      </c>
      <c r="E85" t="str">
        <f t="shared" si="3"/>
        <v>NO</v>
      </c>
      <c r="F85" t="str">
        <f t="shared" si="4"/>
        <v/>
      </c>
      <c r="G85" t="str">
        <f t="shared" si="5"/>
        <v/>
      </c>
      <c r="I85" t="s">
        <v>74</v>
      </c>
    </row>
    <row r="86" spans="1:9" x14ac:dyDescent="0.2">
      <c r="A86">
        <v>85</v>
      </c>
      <c r="B86" s="26" t="s">
        <v>28</v>
      </c>
      <c r="C86" t="str">
        <f>VLOOKUP(A86,'264 ROIs'!A:AK,37,0)</f>
        <v>Uncertain</v>
      </c>
      <c r="D86" t="s">
        <v>28</v>
      </c>
      <c r="E86" t="str">
        <f t="shared" si="3"/>
        <v>NO</v>
      </c>
      <c r="F86" t="str">
        <f t="shared" si="4"/>
        <v/>
      </c>
      <c r="G86" t="str">
        <f t="shared" si="5"/>
        <v/>
      </c>
      <c r="I86" t="s">
        <v>75</v>
      </c>
    </row>
    <row r="87" spans="1:9" x14ac:dyDescent="0.2">
      <c r="A87">
        <v>86</v>
      </c>
      <c r="B87" s="27" t="s">
        <v>40</v>
      </c>
      <c r="C87" t="str">
        <f>VLOOKUP(A87,'264 ROIs'!A:AK,37,0)</f>
        <v>Default mode</v>
      </c>
      <c r="D87" t="s">
        <v>20</v>
      </c>
      <c r="E87" t="str">
        <f t="shared" si="3"/>
        <v>YES</v>
      </c>
      <c r="F87" t="str">
        <f t="shared" si="4"/>
        <v>DMode</v>
      </c>
      <c r="G87" t="str">
        <f t="shared" si="5"/>
        <v>DMode_86</v>
      </c>
      <c r="I87" t="s">
        <v>76</v>
      </c>
    </row>
    <row r="88" spans="1:9" x14ac:dyDescent="0.2">
      <c r="A88">
        <v>87</v>
      </c>
      <c r="B88" s="27" t="s">
        <v>40</v>
      </c>
      <c r="C88" t="str">
        <f>VLOOKUP(A88,'264 ROIs'!A:AK,37,0)</f>
        <v>Default mode</v>
      </c>
      <c r="D88" t="s">
        <v>20</v>
      </c>
      <c r="E88" t="str">
        <f t="shared" si="3"/>
        <v>YES</v>
      </c>
      <c r="F88" t="str">
        <f t="shared" si="4"/>
        <v>DMode</v>
      </c>
      <c r="G88" t="str">
        <f t="shared" si="5"/>
        <v>DMode_87</v>
      </c>
      <c r="I88" t="s">
        <v>77</v>
      </c>
    </row>
    <row r="89" spans="1:9" x14ac:dyDescent="0.2">
      <c r="A89">
        <v>88</v>
      </c>
      <c r="B89" s="27" t="s">
        <v>40</v>
      </c>
      <c r="C89" t="str">
        <f>VLOOKUP(A89,'264 ROIs'!A:AK,37,0)</f>
        <v>Default mode</v>
      </c>
      <c r="D89" t="s">
        <v>20</v>
      </c>
      <c r="E89" t="str">
        <f t="shared" si="3"/>
        <v>YES</v>
      </c>
      <c r="F89" t="str">
        <f t="shared" si="4"/>
        <v>DMode</v>
      </c>
      <c r="G89" t="str">
        <f t="shared" si="5"/>
        <v>DMode_88</v>
      </c>
      <c r="I89" t="s">
        <v>78</v>
      </c>
    </row>
    <row r="90" spans="1:9" x14ac:dyDescent="0.2">
      <c r="A90">
        <v>89</v>
      </c>
      <c r="B90" s="27" t="s">
        <v>40</v>
      </c>
      <c r="C90" t="str">
        <f>VLOOKUP(A90,'264 ROIs'!A:AK,37,0)</f>
        <v>Default mode</v>
      </c>
      <c r="D90" t="s">
        <v>20</v>
      </c>
      <c r="E90" t="str">
        <f t="shared" si="3"/>
        <v>YES</v>
      </c>
      <c r="F90" t="str">
        <f t="shared" si="4"/>
        <v>DMode</v>
      </c>
      <c r="G90" t="str">
        <f t="shared" si="5"/>
        <v>DMode_89</v>
      </c>
      <c r="I90" t="s">
        <v>79</v>
      </c>
    </row>
    <row r="91" spans="1:9" x14ac:dyDescent="0.2">
      <c r="A91">
        <v>90</v>
      </c>
      <c r="B91" s="27" t="s">
        <v>40</v>
      </c>
      <c r="C91" t="str">
        <f>VLOOKUP(A91,'264 ROIs'!A:AK,37,0)</f>
        <v>Default mode</v>
      </c>
      <c r="D91" t="s">
        <v>20</v>
      </c>
      <c r="E91" t="str">
        <f t="shared" si="3"/>
        <v>YES</v>
      </c>
      <c r="F91" t="str">
        <f t="shared" si="4"/>
        <v>DMode</v>
      </c>
      <c r="G91" t="str">
        <f t="shared" si="5"/>
        <v>DMode_90</v>
      </c>
      <c r="I91" t="s">
        <v>80</v>
      </c>
    </row>
    <row r="92" spans="1:9" x14ac:dyDescent="0.2">
      <c r="A92">
        <v>91</v>
      </c>
      <c r="B92" s="27" t="s">
        <v>40</v>
      </c>
      <c r="C92" t="str">
        <f>VLOOKUP(A92,'264 ROIs'!A:AK,37,0)</f>
        <v>Default mode</v>
      </c>
      <c r="D92" t="s">
        <v>20</v>
      </c>
      <c r="E92" t="str">
        <f t="shared" si="3"/>
        <v>YES</v>
      </c>
      <c r="F92" t="str">
        <f t="shared" si="4"/>
        <v>DMode</v>
      </c>
      <c r="G92" t="str">
        <f t="shared" si="5"/>
        <v>DMode_91</v>
      </c>
      <c r="I92" t="s">
        <v>81</v>
      </c>
    </row>
    <row r="93" spans="1:9" x14ac:dyDescent="0.2">
      <c r="A93">
        <v>92</v>
      </c>
      <c r="B93" s="27" t="s">
        <v>40</v>
      </c>
      <c r="C93" t="str">
        <f>VLOOKUP(A93,'264 ROIs'!A:AK,37,0)</f>
        <v>Default mode</v>
      </c>
      <c r="D93" t="s">
        <v>20</v>
      </c>
      <c r="E93" t="str">
        <f t="shared" si="3"/>
        <v>YES</v>
      </c>
      <c r="F93" t="str">
        <f t="shared" si="4"/>
        <v>DMode</v>
      </c>
      <c r="G93" t="str">
        <f t="shared" si="5"/>
        <v>DMode_92</v>
      </c>
      <c r="I93" t="s">
        <v>82</v>
      </c>
    </row>
    <row r="94" spans="1:9" x14ac:dyDescent="0.2">
      <c r="A94">
        <v>93</v>
      </c>
      <c r="B94" s="27" t="s">
        <v>40</v>
      </c>
      <c r="C94" t="str">
        <f>VLOOKUP(A94,'264 ROIs'!A:AK,37,0)</f>
        <v>Default mode</v>
      </c>
      <c r="D94" t="s">
        <v>20</v>
      </c>
      <c r="E94" t="str">
        <f t="shared" si="3"/>
        <v>YES</v>
      </c>
      <c r="F94" t="str">
        <f t="shared" si="4"/>
        <v>DMode</v>
      </c>
      <c r="G94" t="str">
        <f t="shared" si="5"/>
        <v>DMode_93</v>
      </c>
      <c r="I94" t="s">
        <v>83</v>
      </c>
    </row>
    <row r="95" spans="1:9" x14ac:dyDescent="0.2">
      <c r="A95">
        <v>94</v>
      </c>
      <c r="B95" s="27" t="s">
        <v>40</v>
      </c>
      <c r="C95" t="str">
        <f>VLOOKUP(A95,'264 ROIs'!A:AK,37,0)</f>
        <v>Default mode</v>
      </c>
      <c r="D95" t="s">
        <v>20</v>
      </c>
      <c r="E95" t="str">
        <f t="shared" si="3"/>
        <v>YES</v>
      </c>
      <c r="F95" t="str">
        <f t="shared" si="4"/>
        <v>DMode</v>
      </c>
      <c r="G95" t="str">
        <f t="shared" si="5"/>
        <v>DMode_94</v>
      </c>
      <c r="I95" t="s">
        <v>84</v>
      </c>
    </row>
    <row r="96" spans="1:9" x14ac:dyDescent="0.2">
      <c r="A96">
        <v>95</v>
      </c>
      <c r="B96" s="27" t="s">
        <v>40</v>
      </c>
      <c r="C96" t="str">
        <f>VLOOKUP(A96,'264 ROIs'!A:AK,37,0)</f>
        <v>Default mode</v>
      </c>
      <c r="D96" t="s">
        <v>20</v>
      </c>
      <c r="E96" t="str">
        <f t="shared" si="3"/>
        <v>YES</v>
      </c>
      <c r="F96" t="str">
        <f t="shared" si="4"/>
        <v>DMode</v>
      </c>
      <c r="G96" t="str">
        <f t="shared" si="5"/>
        <v>DMode_95</v>
      </c>
      <c r="I96" t="s">
        <v>85</v>
      </c>
    </row>
    <row r="97" spans="1:9" x14ac:dyDescent="0.2">
      <c r="A97">
        <v>96</v>
      </c>
      <c r="B97" s="27" t="s">
        <v>40</v>
      </c>
      <c r="C97" t="str">
        <f>VLOOKUP(A97,'264 ROIs'!A:AK,37,0)</f>
        <v>Default mode</v>
      </c>
      <c r="D97" t="s">
        <v>20</v>
      </c>
      <c r="E97" t="str">
        <f t="shared" si="3"/>
        <v>YES</v>
      </c>
      <c r="F97" t="str">
        <f t="shared" si="4"/>
        <v>DMode</v>
      </c>
      <c r="G97" t="str">
        <f t="shared" si="5"/>
        <v>DMode_96</v>
      </c>
      <c r="I97" t="s">
        <v>86</v>
      </c>
    </row>
    <row r="98" spans="1:9" x14ac:dyDescent="0.2">
      <c r="A98">
        <v>97</v>
      </c>
      <c r="B98" s="27" t="s">
        <v>40</v>
      </c>
      <c r="C98" t="str">
        <f>VLOOKUP(A98,'264 ROIs'!A:AK,37,0)</f>
        <v>Default mode</v>
      </c>
      <c r="D98" t="s">
        <v>20</v>
      </c>
      <c r="E98" t="str">
        <f t="shared" si="3"/>
        <v>YES</v>
      </c>
      <c r="F98" t="str">
        <f t="shared" si="4"/>
        <v>DMode</v>
      </c>
      <c r="G98" t="str">
        <f t="shared" si="5"/>
        <v>DMode_97</v>
      </c>
      <c r="I98" t="s">
        <v>87</v>
      </c>
    </row>
    <row r="99" spans="1:9" x14ac:dyDescent="0.2">
      <c r="A99">
        <v>98</v>
      </c>
      <c r="B99" s="27" t="s">
        <v>40</v>
      </c>
      <c r="C99" t="str">
        <f>VLOOKUP(A99,'264 ROIs'!A:AK,37,0)</f>
        <v>Default mode</v>
      </c>
      <c r="D99" t="s">
        <v>20</v>
      </c>
      <c r="E99" t="str">
        <f t="shared" si="3"/>
        <v>YES</v>
      </c>
      <c r="F99" t="str">
        <f t="shared" si="4"/>
        <v>DMode</v>
      </c>
      <c r="G99" t="str">
        <f t="shared" si="5"/>
        <v>DMode_98</v>
      </c>
      <c r="I99" t="s">
        <v>88</v>
      </c>
    </row>
    <row r="100" spans="1:9" x14ac:dyDescent="0.2">
      <c r="A100">
        <v>99</v>
      </c>
      <c r="B100" s="27" t="s">
        <v>40</v>
      </c>
      <c r="C100" t="str">
        <f>VLOOKUP(A100,'264 ROIs'!A:AK,37,0)</f>
        <v>Default mode</v>
      </c>
      <c r="D100" t="s">
        <v>20</v>
      </c>
      <c r="E100" t="str">
        <f t="shared" si="3"/>
        <v>YES</v>
      </c>
      <c r="F100" t="str">
        <f t="shared" si="4"/>
        <v>DMode</v>
      </c>
      <c r="G100" t="str">
        <f t="shared" si="5"/>
        <v>DMode_99</v>
      </c>
      <c r="I100" t="s">
        <v>89</v>
      </c>
    </row>
    <row r="101" spans="1:9" x14ac:dyDescent="0.2">
      <c r="A101">
        <v>100</v>
      </c>
      <c r="B101" s="27" t="s">
        <v>40</v>
      </c>
      <c r="C101" t="str">
        <f>VLOOKUP(A101,'264 ROIs'!A:AK,37,0)</f>
        <v>Default mode</v>
      </c>
      <c r="D101" t="s">
        <v>20</v>
      </c>
      <c r="E101" t="str">
        <f t="shared" si="3"/>
        <v>YES</v>
      </c>
      <c r="F101" t="str">
        <f t="shared" si="4"/>
        <v>DMode</v>
      </c>
      <c r="G101" t="str">
        <f t="shared" si="5"/>
        <v>DMode_100</v>
      </c>
      <c r="I101" t="s">
        <v>90</v>
      </c>
    </row>
    <row r="102" spans="1:9" x14ac:dyDescent="0.2">
      <c r="A102">
        <v>101</v>
      </c>
      <c r="B102" s="27" t="s">
        <v>40</v>
      </c>
      <c r="C102" t="str">
        <f>VLOOKUP(A102,'264 ROIs'!A:AK,37,0)</f>
        <v>Default mode</v>
      </c>
      <c r="D102" t="s">
        <v>20</v>
      </c>
      <c r="E102" t="str">
        <f t="shared" si="3"/>
        <v>YES</v>
      </c>
      <c r="F102" t="str">
        <f t="shared" si="4"/>
        <v>DMode</v>
      </c>
      <c r="G102" t="str">
        <f t="shared" si="5"/>
        <v>DMode_101</v>
      </c>
      <c r="I102" t="s">
        <v>91</v>
      </c>
    </row>
    <row r="103" spans="1:9" x14ac:dyDescent="0.2">
      <c r="A103">
        <v>102</v>
      </c>
      <c r="B103" s="27" t="s">
        <v>40</v>
      </c>
      <c r="C103" t="str">
        <f>VLOOKUP(A103,'264 ROIs'!A:AK,37,0)</f>
        <v>Default mode</v>
      </c>
      <c r="D103" t="s">
        <v>20</v>
      </c>
      <c r="E103" t="str">
        <f t="shared" si="3"/>
        <v>YES</v>
      </c>
      <c r="F103" t="str">
        <f t="shared" si="4"/>
        <v>DMode</v>
      </c>
      <c r="G103" t="str">
        <f t="shared" si="5"/>
        <v>DMode_102</v>
      </c>
      <c r="I103" t="s">
        <v>92</v>
      </c>
    </row>
    <row r="104" spans="1:9" x14ac:dyDescent="0.2">
      <c r="A104">
        <v>103</v>
      </c>
      <c r="B104" s="27" t="s">
        <v>40</v>
      </c>
      <c r="C104" t="str">
        <f>VLOOKUP(A104,'264 ROIs'!A:AK,37,0)</f>
        <v>Default mode</v>
      </c>
      <c r="D104" t="s">
        <v>20</v>
      </c>
      <c r="E104" t="str">
        <f t="shared" si="3"/>
        <v>YES</v>
      </c>
      <c r="F104" t="str">
        <f t="shared" si="4"/>
        <v>DMode</v>
      </c>
      <c r="G104" t="str">
        <f t="shared" si="5"/>
        <v>DMode_103</v>
      </c>
      <c r="I104" t="s">
        <v>93</v>
      </c>
    </row>
    <row r="105" spans="1:9" x14ac:dyDescent="0.2">
      <c r="A105">
        <v>104</v>
      </c>
      <c r="B105" s="27" t="s">
        <v>40</v>
      </c>
      <c r="C105" t="str">
        <f>VLOOKUP(A105,'264 ROIs'!A:AK,37,0)</f>
        <v>Default mode</v>
      </c>
      <c r="D105" t="s">
        <v>20</v>
      </c>
      <c r="E105" t="str">
        <f t="shared" si="3"/>
        <v>YES</v>
      </c>
      <c r="F105" t="str">
        <f t="shared" si="4"/>
        <v>DMode</v>
      </c>
      <c r="G105" t="str">
        <f t="shared" si="5"/>
        <v>DMode_104</v>
      </c>
      <c r="I105" t="s">
        <v>94</v>
      </c>
    </row>
    <row r="106" spans="1:9" x14ac:dyDescent="0.2">
      <c r="A106">
        <v>105</v>
      </c>
      <c r="B106" s="27" t="s">
        <v>40</v>
      </c>
      <c r="C106" t="str">
        <f>VLOOKUP(A106,'264 ROIs'!A:AK,37,0)</f>
        <v>Default mode</v>
      </c>
      <c r="D106" t="s">
        <v>20</v>
      </c>
      <c r="E106" t="str">
        <f t="shared" si="3"/>
        <v>YES</v>
      </c>
      <c r="F106" t="str">
        <f t="shared" si="4"/>
        <v>DMode</v>
      </c>
      <c r="G106" t="str">
        <f t="shared" si="5"/>
        <v>DMode_105</v>
      </c>
      <c r="I106" t="s">
        <v>95</v>
      </c>
    </row>
    <row r="107" spans="1:9" x14ac:dyDescent="0.2">
      <c r="A107">
        <v>106</v>
      </c>
      <c r="B107" s="27" t="s">
        <v>40</v>
      </c>
      <c r="C107" t="str">
        <f>VLOOKUP(A107,'264 ROIs'!A:AK,37,0)</f>
        <v>Default mode</v>
      </c>
      <c r="D107" t="s">
        <v>20</v>
      </c>
      <c r="E107" t="str">
        <f t="shared" si="3"/>
        <v>YES</v>
      </c>
      <c r="F107" t="str">
        <f t="shared" si="4"/>
        <v>DMode</v>
      </c>
      <c r="G107" t="str">
        <f t="shared" si="5"/>
        <v>DMode_106</v>
      </c>
      <c r="I107" t="s">
        <v>96</v>
      </c>
    </row>
    <row r="108" spans="1:9" x14ac:dyDescent="0.2">
      <c r="A108">
        <v>107</v>
      </c>
      <c r="B108" s="27" t="s">
        <v>40</v>
      </c>
      <c r="C108" t="str">
        <f>VLOOKUP(A108,'264 ROIs'!A:AK,37,0)</f>
        <v>Default mode</v>
      </c>
      <c r="D108" t="s">
        <v>20</v>
      </c>
      <c r="E108" t="str">
        <f t="shared" si="3"/>
        <v>YES</v>
      </c>
      <c r="F108" t="str">
        <f t="shared" si="4"/>
        <v>DMode</v>
      </c>
      <c r="G108" t="str">
        <f t="shared" si="5"/>
        <v>DMode_107</v>
      </c>
      <c r="I108" t="s">
        <v>97</v>
      </c>
    </row>
    <row r="109" spans="1:9" x14ac:dyDescent="0.2">
      <c r="A109">
        <v>108</v>
      </c>
      <c r="B109" s="27" t="s">
        <v>40</v>
      </c>
      <c r="C109" t="str">
        <f>VLOOKUP(A109,'264 ROIs'!A:AK,37,0)</f>
        <v>Default mode</v>
      </c>
      <c r="D109" t="s">
        <v>20</v>
      </c>
      <c r="E109" t="str">
        <f t="shared" si="3"/>
        <v>YES</v>
      </c>
      <c r="F109" t="str">
        <f t="shared" si="4"/>
        <v>DMode</v>
      </c>
      <c r="G109" t="str">
        <f t="shared" si="5"/>
        <v>DMode_108</v>
      </c>
      <c r="I109" t="s">
        <v>98</v>
      </c>
    </row>
    <row r="110" spans="1:9" x14ac:dyDescent="0.2">
      <c r="A110">
        <v>109</v>
      </c>
      <c r="B110" s="27" t="s">
        <v>40</v>
      </c>
      <c r="C110" t="str">
        <f>VLOOKUP(A110,'264 ROIs'!A:AK,37,0)</f>
        <v>Default mode</v>
      </c>
      <c r="D110" t="s">
        <v>20</v>
      </c>
      <c r="E110" t="str">
        <f t="shared" si="3"/>
        <v>YES</v>
      </c>
      <c r="F110" t="str">
        <f t="shared" si="4"/>
        <v>DMode</v>
      </c>
      <c r="G110" t="str">
        <f t="shared" si="5"/>
        <v>DMode_109</v>
      </c>
      <c r="I110" t="s">
        <v>99</v>
      </c>
    </row>
    <row r="111" spans="1:9" x14ac:dyDescent="0.2">
      <c r="A111">
        <v>110</v>
      </c>
      <c r="B111" s="27" t="s">
        <v>40</v>
      </c>
      <c r="C111" t="str">
        <f>VLOOKUP(A111,'264 ROIs'!A:AK,37,0)</f>
        <v>Default mode</v>
      </c>
      <c r="D111" t="s">
        <v>20</v>
      </c>
      <c r="E111" t="str">
        <f t="shared" si="3"/>
        <v>YES</v>
      </c>
      <c r="F111" t="str">
        <f t="shared" si="4"/>
        <v>DMode</v>
      </c>
      <c r="G111" t="str">
        <f t="shared" si="5"/>
        <v>DMode_110</v>
      </c>
      <c r="I111" t="s">
        <v>100</v>
      </c>
    </row>
    <row r="112" spans="1:9" x14ac:dyDescent="0.2">
      <c r="A112">
        <v>111</v>
      </c>
      <c r="B112" s="27" t="s">
        <v>40</v>
      </c>
      <c r="C112" t="str">
        <f>VLOOKUP(A112,'264 ROIs'!A:AK,37,0)</f>
        <v>Default mode</v>
      </c>
      <c r="D112" t="s">
        <v>20</v>
      </c>
      <c r="E112" t="str">
        <f t="shared" si="3"/>
        <v>YES</v>
      </c>
      <c r="F112" t="str">
        <f t="shared" si="4"/>
        <v>DMode</v>
      </c>
      <c r="G112" t="str">
        <f t="shared" si="5"/>
        <v>DMode_111</v>
      </c>
      <c r="I112" t="s">
        <v>101</v>
      </c>
    </row>
    <row r="113" spans="1:9" x14ac:dyDescent="0.2">
      <c r="A113">
        <v>112</v>
      </c>
      <c r="B113" s="27" t="s">
        <v>40</v>
      </c>
      <c r="C113" t="str">
        <f>VLOOKUP(A113,'264 ROIs'!A:AK,37,0)</f>
        <v>Default mode</v>
      </c>
      <c r="D113" t="s">
        <v>20</v>
      </c>
      <c r="E113" t="str">
        <f t="shared" si="3"/>
        <v>YES</v>
      </c>
      <c r="F113" t="str">
        <f t="shared" si="4"/>
        <v>DMode</v>
      </c>
      <c r="G113" t="str">
        <f t="shared" si="5"/>
        <v>DMode_112</v>
      </c>
      <c r="I113" t="s">
        <v>102</v>
      </c>
    </row>
    <row r="114" spans="1:9" x14ac:dyDescent="0.2">
      <c r="A114">
        <v>113</v>
      </c>
      <c r="B114" s="27" t="s">
        <v>40</v>
      </c>
      <c r="C114" t="str">
        <f>VLOOKUP(A114,'264 ROIs'!A:AK,37,0)</f>
        <v>Default mode</v>
      </c>
      <c r="D114" t="s">
        <v>20</v>
      </c>
      <c r="E114" t="str">
        <f t="shared" si="3"/>
        <v>YES</v>
      </c>
      <c r="F114" t="str">
        <f t="shared" si="4"/>
        <v>DMode</v>
      </c>
      <c r="G114" t="str">
        <f t="shared" si="5"/>
        <v>DMode_113</v>
      </c>
      <c r="I114" t="s">
        <v>103</v>
      </c>
    </row>
    <row r="115" spans="1:9" x14ac:dyDescent="0.2">
      <c r="A115">
        <v>114</v>
      </c>
      <c r="B115" s="27" t="s">
        <v>40</v>
      </c>
      <c r="C115" t="str">
        <f>VLOOKUP(A115,'264 ROIs'!A:AK,37,0)</f>
        <v>Default mode</v>
      </c>
      <c r="D115" t="s">
        <v>20</v>
      </c>
      <c r="E115" t="str">
        <f t="shared" si="3"/>
        <v>YES</v>
      </c>
      <c r="F115" t="str">
        <f t="shared" si="4"/>
        <v>DMode</v>
      </c>
      <c r="G115" t="str">
        <f t="shared" si="5"/>
        <v>DMode_114</v>
      </c>
      <c r="I115" t="s">
        <v>104</v>
      </c>
    </row>
    <row r="116" spans="1:9" x14ac:dyDescent="0.2">
      <c r="A116">
        <v>115</v>
      </c>
      <c r="B116" s="27" t="s">
        <v>40</v>
      </c>
      <c r="C116" t="str">
        <f>VLOOKUP(A116,'264 ROIs'!A:AK,37,0)</f>
        <v>Default mode</v>
      </c>
      <c r="D116" t="s">
        <v>20</v>
      </c>
      <c r="E116" t="str">
        <f t="shared" si="3"/>
        <v>YES</v>
      </c>
      <c r="F116" t="str">
        <f t="shared" si="4"/>
        <v>DMode</v>
      </c>
      <c r="G116" t="str">
        <f t="shared" si="5"/>
        <v>DMode_115</v>
      </c>
      <c r="I116" t="s">
        <v>105</v>
      </c>
    </row>
    <row r="117" spans="1:9" x14ac:dyDescent="0.2">
      <c r="A117">
        <v>116</v>
      </c>
      <c r="B117" s="27" t="s">
        <v>40</v>
      </c>
      <c r="C117" t="str">
        <f>VLOOKUP(A117,'264 ROIs'!A:AK,37,0)</f>
        <v>Default mode</v>
      </c>
      <c r="D117" t="s">
        <v>20</v>
      </c>
      <c r="E117" t="str">
        <f t="shared" si="3"/>
        <v>YES</v>
      </c>
      <c r="F117" t="str">
        <f t="shared" si="4"/>
        <v>DMode</v>
      </c>
      <c r="G117" t="str">
        <f t="shared" si="5"/>
        <v>DMode_116</v>
      </c>
      <c r="I117" t="s">
        <v>106</v>
      </c>
    </row>
    <row r="118" spans="1:9" x14ac:dyDescent="0.2">
      <c r="A118">
        <v>117</v>
      </c>
      <c r="B118" s="27" t="s">
        <v>40</v>
      </c>
      <c r="C118" t="str">
        <f>VLOOKUP(A118,'264 ROIs'!A:AK,37,0)</f>
        <v>Default mode</v>
      </c>
      <c r="D118" t="s">
        <v>20</v>
      </c>
      <c r="E118" t="str">
        <f t="shared" si="3"/>
        <v>YES</v>
      </c>
      <c r="F118" t="str">
        <f t="shared" si="4"/>
        <v>DMode</v>
      </c>
      <c r="G118" t="str">
        <f t="shared" si="5"/>
        <v>DMode_117</v>
      </c>
      <c r="I118" t="s">
        <v>107</v>
      </c>
    </row>
    <row r="119" spans="1:9" x14ac:dyDescent="0.2">
      <c r="A119">
        <v>118</v>
      </c>
      <c r="B119" s="27" t="s">
        <v>40</v>
      </c>
      <c r="C119" t="str">
        <f>VLOOKUP(A119,'264 ROIs'!A:AK,37,0)</f>
        <v>Default mode</v>
      </c>
      <c r="D119" t="s">
        <v>20</v>
      </c>
      <c r="E119" t="str">
        <f t="shared" si="3"/>
        <v>YES</v>
      </c>
      <c r="F119" t="str">
        <f t="shared" si="4"/>
        <v>DMode</v>
      </c>
      <c r="G119" t="str">
        <f t="shared" si="5"/>
        <v>DMode_118</v>
      </c>
      <c r="I119" t="s">
        <v>108</v>
      </c>
    </row>
    <row r="120" spans="1:9" x14ac:dyDescent="0.2">
      <c r="A120">
        <v>119</v>
      </c>
      <c r="B120" s="27" t="s">
        <v>40</v>
      </c>
      <c r="C120" t="str">
        <f>VLOOKUP(A120,'264 ROIs'!A:AK,37,0)</f>
        <v>Default mode</v>
      </c>
      <c r="D120" t="s">
        <v>20</v>
      </c>
      <c r="E120" t="str">
        <f t="shared" si="3"/>
        <v>YES</v>
      </c>
      <c r="F120" t="str">
        <f t="shared" si="4"/>
        <v>DMode</v>
      </c>
      <c r="G120" t="str">
        <f t="shared" si="5"/>
        <v>DMode_119</v>
      </c>
      <c r="I120" t="s">
        <v>109</v>
      </c>
    </row>
    <row r="121" spans="1:9" x14ac:dyDescent="0.2">
      <c r="A121">
        <v>120</v>
      </c>
      <c r="B121" s="27" t="s">
        <v>40</v>
      </c>
      <c r="C121" t="str">
        <f>VLOOKUP(A121,'264 ROIs'!A:AK,37,0)</f>
        <v>Default mode</v>
      </c>
      <c r="D121" t="s">
        <v>20</v>
      </c>
      <c r="E121" t="str">
        <f t="shared" si="3"/>
        <v>YES</v>
      </c>
      <c r="F121" t="str">
        <f t="shared" si="4"/>
        <v>DMode</v>
      </c>
      <c r="G121" t="str">
        <f t="shared" si="5"/>
        <v>DMode_120</v>
      </c>
      <c r="I121" t="s">
        <v>110</v>
      </c>
    </row>
    <row r="122" spans="1:9" x14ac:dyDescent="0.2">
      <c r="A122">
        <v>121</v>
      </c>
      <c r="B122" s="27" t="s">
        <v>40</v>
      </c>
      <c r="C122" t="str">
        <f>VLOOKUP(A122,'264 ROIs'!A:AK,37,0)</f>
        <v>Default mode</v>
      </c>
      <c r="D122" t="s">
        <v>20</v>
      </c>
      <c r="E122" t="str">
        <f t="shared" si="3"/>
        <v>YES</v>
      </c>
      <c r="F122" t="str">
        <f t="shared" si="4"/>
        <v>DMode</v>
      </c>
      <c r="G122" t="str">
        <f t="shared" si="5"/>
        <v>DMode_121</v>
      </c>
      <c r="I122" t="s">
        <v>111</v>
      </c>
    </row>
    <row r="123" spans="1:9" x14ac:dyDescent="0.2">
      <c r="A123">
        <v>122</v>
      </c>
      <c r="B123" s="27" t="s">
        <v>40</v>
      </c>
      <c r="C123" t="str">
        <f>VLOOKUP(A123,'264 ROIs'!A:AK,37,0)</f>
        <v>Default mode</v>
      </c>
      <c r="D123" t="s">
        <v>20</v>
      </c>
      <c r="E123" t="str">
        <f t="shared" si="3"/>
        <v>YES</v>
      </c>
      <c r="F123" t="str">
        <f t="shared" si="4"/>
        <v>DMode</v>
      </c>
      <c r="G123" t="str">
        <f t="shared" si="5"/>
        <v>DMode_122</v>
      </c>
      <c r="I123" t="s">
        <v>112</v>
      </c>
    </row>
    <row r="124" spans="1:9" x14ac:dyDescent="0.2">
      <c r="A124">
        <v>123</v>
      </c>
      <c r="B124" s="27" t="s">
        <v>40</v>
      </c>
      <c r="C124" t="str">
        <f>VLOOKUP(A124,'264 ROIs'!A:AK,37,0)</f>
        <v>Default mode</v>
      </c>
      <c r="D124" t="s">
        <v>20</v>
      </c>
      <c r="E124" t="str">
        <f t="shared" si="3"/>
        <v>YES</v>
      </c>
      <c r="F124" t="str">
        <f t="shared" si="4"/>
        <v>DMode</v>
      </c>
      <c r="G124" t="str">
        <f t="shared" si="5"/>
        <v>DMode_123</v>
      </c>
      <c r="I124" t="s">
        <v>113</v>
      </c>
    </row>
    <row r="125" spans="1:9" x14ac:dyDescent="0.2">
      <c r="A125">
        <v>124</v>
      </c>
      <c r="B125" s="27" t="s">
        <v>40</v>
      </c>
      <c r="C125" t="str">
        <f>VLOOKUP(A125,'264 ROIs'!A:AK,37,0)</f>
        <v>Default mode</v>
      </c>
      <c r="D125" t="s">
        <v>20</v>
      </c>
      <c r="E125" t="str">
        <f t="shared" si="3"/>
        <v>YES</v>
      </c>
      <c r="F125" t="str">
        <f t="shared" si="4"/>
        <v>DMode</v>
      </c>
      <c r="G125" t="str">
        <f t="shared" si="5"/>
        <v>DMode_124</v>
      </c>
      <c r="I125" t="s">
        <v>114</v>
      </c>
    </row>
    <row r="126" spans="1:9" x14ac:dyDescent="0.2">
      <c r="A126">
        <v>125</v>
      </c>
      <c r="B126" s="27" t="s">
        <v>40</v>
      </c>
      <c r="C126" t="str">
        <f>VLOOKUP(A126,'264 ROIs'!A:AK,37,0)</f>
        <v>Default mode</v>
      </c>
      <c r="D126" t="s">
        <v>20</v>
      </c>
      <c r="E126" t="str">
        <f t="shared" si="3"/>
        <v>YES</v>
      </c>
      <c r="F126" t="str">
        <f t="shared" si="4"/>
        <v>DMode</v>
      </c>
      <c r="G126" t="str">
        <f t="shared" si="5"/>
        <v>DMode_125</v>
      </c>
      <c r="I126" t="s">
        <v>115</v>
      </c>
    </row>
    <row r="127" spans="1:9" x14ac:dyDescent="0.2">
      <c r="A127">
        <v>126</v>
      </c>
      <c r="B127" s="27" t="s">
        <v>40</v>
      </c>
      <c r="C127" t="str">
        <f>VLOOKUP(A127,'264 ROIs'!A:AK,37,0)</f>
        <v>Default mode</v>
      </c>
      <c r="D127" t="s">
        <v>20</v>
      </c>
      <c r="E127" t="str">
        <f t="shared" si="3"/>
        <v>YES</v>
      </c>
      <c r="F127" t="str">
        <f t="shared" si="4"/>
        <v>DMode</v>
      </c>
      <c r="G127" t="str">
        <f t="shared" si="5"/>
        <v>DMode_126</v>
      </c>
      <c r="I127" t="s">
        <v>116</v>
      </c>
    </row>
    <row r="128" spans="1:9" x14ac:dyDescent="0.2">
      <c r="A128">
        <v>127</v>
      </c>
      <c r="B128" s="27" t="s">
        <v>40</v>
      </c>
      <c r="C128" t="str">
        <f>VLOOKUP(A128,'264 ROIs'!A:AK,37,0)</f>
        <v>Default mode</v>
      </c>
      <c r="D128" t="s">
        <v>20</v>
      </c>
      <c r="E128" t="str">
        <f t="shared" si="3"/>
        <v>YES</v>
      </c>
      <c r="F128" t="str">
        <f t="shared" si="4"/>
        <v>DMode</v>
      </c>
      <c r="G128" t="str">
        <f t="shared" si="5"/>
        <v>DMode_127</v>
      </c>
      <c r="I128" t="s">
        <v>117</v>
      </c>
    </row>
    <row r="129" spans="1:9" x14ac:dyDescent="0.2">
      <c r="A129">
        <v>128</v>
      </c>
      <c r="B129" s="27" t="s">
        <v>40</v>
      </c>
      <c r="C129" t="str">
        <f>VLOOKUP(A129,'264 ROIs'!A:AK,37,0)</f>
        <v>Default mode</v>
      </c>
      <c r="D129" t="s">
        <v>20</v>
      </c>
      <c r="E129" t="str">
        <f t="shared" si="3"/>
        <v>YES</v>
      </c>
      <c r="F129" t="str">
        <f t="shared" si="4"/>
        <v>DMode</v>
      </c>
      <c r="G129" t="str">
        <f t="shared" si="5"/>
        <v>DMode_128</v>
      </c>
      <c r="I129" t="s">
        <v>118</v>
      </c>
    </row>
    <row r="130" spans="1:9" x14ac:dyDescent="0.2">
      <c r="A130">
        <v>129</v>
      </c>
      <c r="B130" s="27" t="s">
        <v>40</v>
      </c>
      <c r="C130" t="str">
        <f>VLOOKUP(A130,'264 ROIs'!A:AK,37,0)</f>
        <v>Default mode</v>
      </c>
      <c r="D130" t="s">
        <v>20</v>
      </c>
      <c r="E130" t="str">
        <f t="shared" si="3"/>
        <v>YES</v>
      </c>
      <c r="F130" t="str">
        <f t="shared" si="4"/>
        <v>DMode</v>
      </c>
      <c r="G130" t="str">
        <f t="shared" si="5"/>
        <v>DMode_129</v>
      </c>
      <c r="I130" t="s">
        <v>119</v>
      </c>
    </row>
    <row r="131" spans="1:9" x14ac:dyDescent="0.2">
      <c r="A131">
        <v>130</v>
      </c>
      <c r="B131" s="27" t="s">
        <v>40</v>
      </c>
      <c r="C131" t="str">
        <f>VLOOKUP(A131,'264 ROIs'!A:AK,37,0)</f>
        <v>Default mode</v>
      </c>
      <c r="D131" t="s">
        <v>20</v>
      </c>
      <c r="E131" t="str">
        <f t="shared" ref="E131:E194" si="6">IF(D131="Default mode","YES",IF(D131="Fronto-parietal Task Control","YES",IF(D131="Subcortical","YES","NO")))</f>
        <v>YES</v>
      </c>
      <c r="F131" t="str">
        <f t="shared" ref="F131:F194" si="7">IF(E131="YES",B131,"")</f>
        <v>DMode</v>
      </c>
      <c r="G131" t="str">
        <f t="shared" ref="G131:G194" si="8">IF(F131="","",F131&amp;"_"&amp;A131)</f>
        <v>DMode_130</v>
      </c>
      <c r="I131" t="s">
        <v>120</v>
      </c>
    </row>
    <row r="132" spans="1:9" x14ac:dyDescent="0.2">
      <c r="A132">
        <v>131</v>
      </c>
      <c r="B132" s="27" t="s">
        <v>40</v>
      </c>
      <c r="C132" t="str">
        <f>VLOOKUP(A132,'264 ROIs'!A:AK,37,0)</f>
        <v>Default mode</v>
      </c>
      <c r="D132" t="s">
        <v>20</v>
      </c>
      <c r="E132" t="str">
        <f t="shared" si="6"/>
        <v>YES</v>
      </c>
      <c r="F132" t="str">
        <f t="shared" si="7"/>
        <v>DMode</v>
      </c>
      <c r="G132" t="str">
        <f t="shared" si="8"/>
        <v>DMode_131</v>
      </c>
      <c r="I132" t="s">
        <v>121</v>
      </c>
    </row>
    <row r="133" spans="1:9" x14ac:dyDescent="0.2">
      <c r="A133">
        <v>132</v>
      </c>
      <c r="B133" s="26" t="s">
        <v>28</v>
      </c>
      <c r="C133" t="str">
        <f>VLOOKUP(A133,'264 ROIs'!A:AK,37,0)</f>
        <v>Uncertain</v>
      </c>
      <c r="D133" t="s">
        <v>28</v>
      </c>
      <c r="E133" t="str">
        <f t="shared" si="6"/>
        <v>NO</v>
      </c>
      <c r="F133" t="str">
        <f t="shared" si="7"/>
        <v/>
      </c>
      <c r="G133" t="str">
        <f t="shared" si="8"/>
        <v/>
      </c>
      <c r="I133" t="s">
        <v>122</v>
      </c>
    </row>
    <row r="134" spans="1:9" x14ac:dyDescent="0.2">
      <c r="A134">
        <v>133</v>
      </c>
      <c r="B134" s="27" t="s">
        <v>41</v>
      </c>
      <c r="C134" t="str">
        <f>VLOOKUP(A134,'264 ROIs'!A:AK,37,0)</f>
        <v>Memory retrieval?</v>
      </c>
      <c r="D134" t="s">
        <v>53</v>
      </c>
      <c r="E134" t="str">
        <f t="shared" si="6"/>
        <v>NO</v>
      </c>
      <c r="F134" t="str">
        <f t="shared" si="7"/>
        <v/>
      </c>
      <c r="G134" t="str">
        <f t="shared" si="8"/>
        <v/>
      </c>
      <c r="I134" t="s">
        <v>123</v>
      </c>
    </row>
    <row r="135" spans="1:9" x14ac:dyDescent="0.2">
      <c r="A135">
        <v>134</v>
      </c>
      <c r="B135" s="27" t="s">
        <v>41</v>
      </c>
      <c r="C135" t="str">
        <f>VLOOKUP(A135,'264 ROIs'!A:AK,37,0)</f>
        <v>Memory retrieval?</v>
      </c>
      <c r="D135" t="s">
        <v>53</v>
      </c>
      <c r="E135" t="str">
        <f t="shared" si="6"/>
        <v>NO</v>
      </c>
      <c r="F135" t="str">
        <f t="shared" si="7"/>
        <v/>
      </c>
      <c r="G135" t="str">
        <f t="shared" si="8"/>
        <v/>
      </c>
      <c r="I135" t="s">
        <v>124</v>
      </c>
    </row>
    <row r="136" spans="1:9" x14ac:dyDescent="0.2">
      <c r="A136">
        <v>135</v>
      </c>
      <c r="B136" s="27" t="s">
        <v>41</v>
      </c>
      <c r="C136" t="str">
        <f>VLOOKUP(A136,'264 ROIs'!A:AK,37,0)</f>
        <v>Memory retrieval?</v>
      </c>
      <c r="D136" t="s">
        <v>53</v>
      </c>
      <c r="E136" t="str">
        <f t="shared" si="6"/>
        <v>NO</v>
      </c>
      <c r="F136" t="str">
        <f t="shared" si="7"/>
        <v/>
      </c>
      <c r="G136" t="str">
        <f t="shared" si="8"/>
        <v/>
      </c>
      <c r="I136" t="s">
        <v>125</v>
      </c>
    </row>
    <row r="137" spans="1:9" x14ac:dyDescent="0.2">
      <c r="A137">
        <v>136</v>
      </c>
      <c r="B137" s="27" t="s">
        <v>41</v>
      </c>
      <c r="C137" t="str">
        <f>VLOOKUP(A137,'264 ROIs'!A:AK,37,0)</f>
        <v>Memory retrieval?</v>
      </c>
      <c r="D137" t="s">
        <v>53</v>
      </c>
      <c r="E137" t="str">
        <f t="shared" si="6"/>
        <v>NO</v>
      </c>
      <c r="F137" t="str">
        <f t="shared" si="7"/>
        <v/>
      </c>
      <c r="G137" t="str">
        <f t="shared" si="8"/>
        <v/>
      </c>
      <c r="I137" t="s">
        <v>126</v>
      </c>
    </row>
    <row r="138" spans="1:9" x14ac:dyDescent="0.2">
      <c r="A138">
        <v>137</v>
      </c>
      <c r="B138" s="27" t="s">
        <v>40</v>
      </c>
      <c r="C138" t="str">
        <f>VLOOKUP(A138,'264 ROIs'!A:AK,37,0)</f>
        <v>Default mode</v>
      </c>
      <c r="D138" t="s">
        <v>20</v>
      </c>
      <c r="E138" t="str">
        <f t="shared" si="6"/>
        <v>YES</v>
      </c>
      <c r="F138" t="str">
        <f t="shared" si="7"/>
        <v>DMode</v>
      </c>
      <c r="G138" t="str">
        <f t="shared" si="8"/>
        <v>DMode_137</v>
      </c>
      <c r="I138" t="s">
        <v>127</v>
      </c>
    </row>
    <row r="139" spans="1:9" x14ac:dyDescent="0.2">
      <c r="A139">
        <v>138</v>
      </c>
      <c r="B139" s="27" t="s">
        <v>42</v>
      </c>
      <c r="C139" t="str">
        <f>VLOOKUP(A139,'264 ROIs'!A:AK,37,0)</f>
        <v>Ventral attention</v>
      </c>
      <c r="D139" t="s">
        <v>54</v>
      </c>
      <c r="E139" t="str">
        <f t="shared" si="6"/>
        <v>NO</v>
      </c>
      <c r="F139" t="str">
        <f t="shared" si="7"/>
        <v/>
      </c>
      <c r="G139" t="str">
        <f t="shared" si="8"/>
        <v/>
      </c>
      <c r="I139" t="s">
        <v>128</v>
      </c>
    </row>
    <row r="140" spans="1:9" x14ac:dyDescent="0.2">
      <c r="A140">
        <v>139</v>
      </c>
      <c r="B140" s="27" t="s">
        <v>40</v>
      </c>
      <c r="C140" t="str">
        <f>VLOOKUP(A140,'264 ROIs'!A:AK,37,0)</f>
        <v>Default mode</v>
      </c>
      <c r="D140" t="s">
        <v>20</v>
      </c>
      <c r="E140" t="str">
        <f t="shared" si="6"/>
        <v>YES</v>
      </c>
      <c r="F140" t="str">
        <f t="shared" si="7"/>
        <v>DMode</v>
      </c>
      <c r="G140" t="str">
        <f t="shared" si="8"/>
        <v>DMode_139</v>
      </c>
      <c r="I140" t="s">
        <v>129</v>
      </c>
    </row>
    <row r="141" spans="1:9" x14ac:dyDescent="0.2">
      <c r="A141">
        <v>140</v>
      </c>
      <c r="B141" s="26" t="s">
        <v>28</v>
      </c>
      <c r="C141" t="str">
        <f>VLOOKUP(A141,'264 ROIs'!A:AK,37,0)</f>
        <v>Uncertain</v>
      </c>
      <c r="D141" t="s">
        <v>28</v>
      </c>
      <c r="E141" t="str">
        <f t="shared" si="6"/>
        <v>NO</v>
      </c>
      <c r="F141" t="str">
        <f t="shared" si="7"/>
        <v/>
      </c>
      <c r="G141" t="str">
        <f t="shared" si="8"/>
        <v/>
      </c>
      <c r="I141" t="s">
        <v>130</v>
      </c>
    </row>
    <row r="142" spans="1:9" x14ac:dyDescent="0.2">
      <c r="A142">
        <v>141</v>
      </c>
      <c r="B142" s="26" t="s">
        <v>28</v>
      </c>
      <c r="C142" t="str">
        <f>VLOOKUP(A142,'264 ROIs'!A:AK,37,0)</f>
        <v>Uncertain</v>
      </c>
      <c r="D142" t="s">
        <v>28</v>
      </c>
      <c r="E142" t="str">
        <f t="shared" si="6"/>
        <v>NO</v>
      </c>
      <c r="F142" t="str">
        <f t="shared" si="7"/>
        <v/>
      </c>
      <c r="G142" t="str">
        <f t="shared" si="8"/>
        <v/>
      </c>
      <c r="I142" t="s">
        <v>131</v>
      </c>
    </row>
    <row r="143" spans="1:9" x14ac:dyDescent="0.2">
      <c r="A143">
        <v>142</v>
      </c>
      <c r="B143" s="26" t="s">
        <v>28</v>
      </c>
      <c r="C143" t="str">
        <f>VLOOKUP(A143,'264 ROIs'!A:AK,37,0)</f>
        <v>Uncertain</v>
      </c>
      <c r="D143" t="s">
        <v>28</v>
      </c>
      <c r="E143" t="str">
        <f t="shared" si="6"/>
        <v>NO</v>
      </c>
      <c r="F143" t="str">
        <f t="shared" si="7"/>
        <v/>
      </c>
      <c r="G143" t="str">
        <f t="shared" si="8"/>
        <v/>
      </c>
      <c r="I143" t="s">
        <v>132</v>
      </c>
    </row>
    <row r="144" spans="1:9" x14ac:dyDescent="0.2">
      <c r="A144">
        <v>143</v>
      </c>
      <c r="B144" s="26" t="s">
        <v>43</v>
      </c>
      <c r="C144" t="e">
        <f>VLOOKUP(A144,'264 ROIs'!A:AK,37,0)</f>
        <v>#N/A</v>
      </c>
      <c r="D144" t="e">
        <v>#N/A</v>
      </c>
      <c r="E144" t="e">
        <f t="shared" si="6"/>
        <v>#N/A</v>
      </c>
      <c r="F144" t="e">
        <f t="shared" si="7"/>
        <v>#N/A</v>
      </c>
      <c r="G144" t="e">
        <f t="shared" si="8"/>
        <v>#N/A</v>
      </c>
      <c r="I144" t="s">
        <v>133</v>
      </c>
    </row>
    <row r="145" spans="1:9" x14ac:dyDescent="0.2">
      <c r="A145">
        <v>144</v>
      </c>
      <c r="B145" s="26" t="s">
        <v>43</v>
      </c>
      <c r="C145" t="e">
        <f>VLOOKUP(A145,'264 ROIs'!A:AK,37,0)</f>
        <v>#N/A</v>
      </c>
      <c r="D145" t="e">
        <v>#N/A</v>
      </c>
      <c r="E145" t="e">
        <f t="shared" si="6"/>
        <v>#N/A</v>
      </c>
      <c r="F145" t="e">
        <f t="shared" si="7"/>
        <v>#N/A</v>
      </c>
      <c r="G145" t="e">
        <f t="shared" si="8"/>
        <v>#N/A</v>
      </c>
      <c r="I145" t="s">
        <v>134</v>
      </c>
    </row>
    <row r="146" spans="1:9" x14ac:dyDescent="0.2">
      <c r="A146">
        <v>145</v>
      </c>
      <c r="B146" s="26" t="s">
        <v>43</v>
      </c>
      <c r="C146" t="e">
        <f>VLOOKUP(A146,'264 ROIs'!A:AK,37,0)</f>
        <v>#N/A</v>
      </c>
      <c r="D146" t="e">
        <v>#N/A</v>
      </c>
      <c r="E146" t="e">
        <f t="shared" si="6"/>
        <v>#N/A</v>
      </c>
      <c r="F146" t="e">
        <f t="shared" si="7"/>
        <v>#N/A</v>
      </c>
      <c r="G146" t="e">
        <f t="shared" si="8"/>
        <v>#N/A</v>
      </c>
      <c r="I146" t="s">
        <v>135</v>
      </c>
    </row>
    <row r="147" spans="1:9" x14ac:dyDescent="0.2">
      <c r="A147">
        <v>146</v>
      </c>
      <c r="B147" s="26" t="s">
        <v>43</v>
      </c>
      <c r="C147" t="e">
        <f>VLOOKUP(A147,'264 ROIs'!A:AK,37,0)</f>
        <v>#N/A</v>
      </c>
      <c r="D147" t="e">
        <v>#N/A</v>
      </c>
      <c r="E147" t="e">
        <f t="shared" si="6"/>
        <v>#N/A</v>
      </c>
      <c r="F147" t="e">
        <f t="shared" si="7"/>
        <v>#N/A</v>
      </c>
      <c r="G147" t="e">
        <f t="shared" si="8"/>
        <v>#N/A</v>
      </c>
      <c r="I147" t="s">
        <v>136</v>
      </c>
    </row>
    <row r="148" spans="1:9" x14ac:dyDescent="0.2">
      <c r="A148">
        <v>147</v>
      </c>
      <c r="B148" s="26" t="s">
        <v>43</v>
      </c>
      <c r="C148" t="e">
        <f>VLOOKUP(A148,'264 ROIs'!A:AK,37,0)</f>
        <v>#N/A</v>
      </c>
      <c r="D148" t="e">
        <v>#N/A</v>
      </c>
      <c r="E148" t="e">
        <f t="shared" si="6"/>
        <v>#N/A</v>
      </c>
      <c r="F148" t="e">
        <f t="shared" si="7"/>
        <v>#N/A</v>
      </c>
      <c r="G148" t="e">
        <f t="shared" si="8"/>
        <v>#N/A</v>
      </c>
      <c r="I148" t="s">
        <v>137</v>
      </c>
    </row>
    <row r="149" spans="1:9" x14ac:dyDescent="0.2">
      <c r="A149">
        <v>148</v>
      </c>
      <c r="B149" s="26" t="s">
        <v>43</v>
      </c>
      <c r="C149" t="e">
        <f>VLOOKUP(A149,'264 ROIs'!A:AK,37,0)</f>
        <v>#N/A</v>
      </c>
      <c r="D149" t="e">
        <v>#N/A</v>
      </c>
      <c r="E149" t="e">
        <f t="shared" si="6"/>
        <v>#N/A</v>
      </c>
      <c r="F149" t="e">
        <f t="shared" si="7"/>
        <v>#N/A</v>
      </c>
      <c r="G149" t="e">
        <f t="shared" si="8"/>
        <v>#N/A</v>
      </c>
      <c r="I149" t="s">
        <v>138</v>
      </c>
    </row>
    <row r="150" spans="1:9" x14ac:dyDescent="0.2">
      <c r="A150">
        <v>149</v>
      </c>
      <c r="B150" s="26" t="s">
        <v>43</v>
      </c>
      <c r="C150" t="e">
        <f>VLOOKUP(A150,'264 ROIs'!A:AK,37,0)</f>
        <v>#N/A</v>
      </c>
      <c r="D150" t="e">
        <v>#N/A</v>
      </c>
      <c r="E150" t="e">
        <f t="shared" si="6"/>
        <v>#N/A</v>
      </c>
      <c r="F150" t="e">
        <f t="shared" si="7"/>
        <v>#N/A</v>
      </c>
      <c r="G150" t="e">
        <f t="shared" si="8"/>
        <v>#N/A</v>
      </c>
      <c r="I150" t="s">
        <v>139</v>
      </c>
    </row>
    <row r="151" spans="1:9" x14ac:dyDescent="0.2">
      <c r="A151">
        <v>150</v>
      </c>
      <c r="B151" s="26" t="s">
        <v>43</v>
      </c>
      <c r="C151" t="e">
        <f>VLOOKUP(A151,'264 ROIs'!A:AK,37,0)</f>
        <v>#N/A</v>
      </c>
      <c r="D151" t="e">
        <v>#N/A</v>
      </c>
      <c r="E151" t="e">
        <f t="shared" si="6"/>
        <v>#N/A</v>
      </c>
      <c r="F151" t="e">
        <f t="shared" si="7"/>
        <v>#N/A</v>
      </c>
      <c r="G151" t="e">
        <f t="shared" si="8"/>
        <v>#N/A</v>
      </c>
      <c r="I151" t="s">
        <v>140</v>
      </c>
    </row>
    <row r="152" spans="1:9" x14ac:dyDescent="0.2">
      <c r="A152">
        <v>151</v>
      </c>
      <c r="B152" s="26" t="s">
        <v>43</v>
      </c>
      <c r="C152" t="e">
        <f>VLOOKUP(A152,'264 ROIs'!A:AK,37,0)</f>
        <v>#N/A</v>
      </c>
      <c r="D152" t="e">
        <v>#N/A</v>
      </c>
      <c r="E152" t="e">
        <f t="shared" si="6"/>
        <v>#N/A</v>
      </c>
      <c r="F152" t="e">
        <f t="shared" si="7"/>
        <v>#N/A</v>
      </c>
      <c r="G152" t="e">
        <f t="shared" si="8"/>
        <v>#N/A</v>
      </c>
      <c r="I152" t="s">
        <v>141</v>
      </c>
    </row>
    <row r="153" spans="1:9" x14ac:dyDescent="0.2">
      <c r="A153">
        <v>152</v>
      </c>
      <c r="B153" s="26" t="s">
        <v>43</v>
      </c>
      <c r="C153" t="e">
        <f>VLOOKUP(A153,'264 ROIs'!A:AK,37,0)</f>
        <v>#N/A</v>
      </c>
      <c r="D153" t="e">
        <v>#N/A</v>
      </c>
      <c r="E153" t="e">
        <f t="shared" si="6"/>
        <v>#N/A</v>
      </c>
      <c r="F153" t="e">
        <f t="shared" si="7"/>
        <v>#N/A</v>
      </c>
      <c r="G153" t="e">
        <f t="shared" si="8"/>
        <v>#N/A</v>
      </c>
      <c r="I153" t="s">
        <v>142</v>
      </c>
    </row>
    <row r="154" spans="1:9" x14ac:dyDescent="0.2">
      <c r="A154">
        <v>153</v>
      </c>
      <c r="B154" s="26" t="s">
        <v>43</v>
      </c>
      <c r="C154" t="e">
        <f>VLOOKUP(A154,'264 ROIs'!A:AK,37,0)</f>
        <v>#N/A</v>
      </c>
      <c r="D154" t="e">
        <v>#N/A</v>
      </c>
      <c r="E154" t="e">
        <f t="shared" si="6"/>
        <v>#N/A</v>
      </c>
      <c r="F154" t="e">
        <f t="shared" si="7"/>
        <v>#N/A</v>
      </c>
      <c r="G154" t="e">
        <f t="shared" si="8"/>
        <v>#N/A</v>
      </c>
      <c r="I154" t="s">
        <v>143</v>
      </c>
    </row>
    <row r="155" spans="1:9" x14ac:dyDescent="0.2">
      <c r="A155">
        <v>154</v>
      </c>
      <c r="B155" s="26" t="s">
        <v>43</v>
      </c>
      <c r="C155" t="e">
        <f>VLOOKUP(A155,'264 ROIs'!A:AK,37,0)</f>
        <v>#N/A</v>
      </c>
      <c r="D155" t="e">
        <v>#N/A</v>
      </c>
      <c r="E155" t="e">
        <f t="shared" si="6"/>
        <v>#N/A</v>
      </c>
      <c r="F155" t="e">
        <f t="shared" si="7"/>
        <v>#N/A</v>
      </c>
      <c r="G155" t="e">
        <f t="shared" si="8"/>
        <v>#N/A</v>
      </c>
      <c r="I155" t="s">
        <v>144</v>
      </c>
    </row>
    <row r="156" spans="1:9" x14ac:dyDescent="0.2">
      <c r="A156">
        <v>155</v>
      </c>
      <c r="B156" s="26" t="s">
        <v>43</v>
      </c>
      <c r="C156" t="e">
        <f>VLOOKUP(A156,'264 ROIs'!A:AK,37,0)</f>
        <v>#N/A</v>
      </c>
      <c r="D156" t="e">
        <v>#N/A</v>
      </c>
      <c r="E156" t="e">
        <f t="shared" si="6"/>
        <v>#N/A</v>
      </c>
      <c r="F156" t="e">
        <f t="shared" si="7"/>
        <v>#N/A</v>
      </c>
      <c r="G156" t="e">
        <f t="shared" si="8"/>
        <v>#N/A</v>
      </c>
      <c r="I156" t="s">
        <v>145</v>
      </c>
    </row>
    <row r="157" spans="1:9" x14ac:dyDescent="0.2">
      <c r="A157">
        <v>156</v>
      </c>
      <c r="B157" s="26" t="s">
        <v>43</v>
      </c>
      <c r="C157" t="e">
        <f>VLOOKUP(A157,'264 ROIs'!A:AK,37,0)</f>
        <v>#N/A</v>
      </c>
      <c r="D157" t="e">
        <v>#N/A</v>
      </c>
      <c r="E157" t="e">
        <f t="shared" si="6"/>
        <v>#N/A</v>
      </c>
      <c r="F157" t="e">
        <f t="shared" si="7"/>
        <v>#N/A</v>
      </c>
      <c r="G157" t="e">
        <f t="shared" si="8"/>
        <v>#N/A</v>
      </c>
      <c r="I157" t="s">
        <v>146</v>
      </c>
    </row>
    <row r="158" spans="1:9" x14ac:dyDescent="0.2">
      <c r="A158">
        <v>157</v>
      </c>
      <c r="B158" s="26" t="s">
        <v>43</v>
      </c>
      <c r="C158" t="e">
        <f>VLOOKUP(A158,'264 ROIs'!A:AK,37,0)</f>
        <v>#N/A</v>
      </c>
      <c r="D158" t="e">
        <v>#N/A</v>
      </c>
      <c r="E158" t="e">
        <f t="shared" si="6"/>
        <v>#N/A</v>
      </c>
      <c r="F158" t="e">
        <f t="shared" si="7"/>
        <v>#N/A</v>
      </c>
      <c r="G158" t="e">
        <f t="shared" si="8"/>
        <v>#N/A</v>
      </c>
      <c r="I158" t="s">
        <v>147</v>
      </c>
    </row>
    <row r="159" spans="1:9" x14ac:dyDescent="0.2">
      <c r="A159">
        <v>158</v>
      </c>
      <c r="B159" s="26" t="s">
        <v>43</v>
      </c>
      <c r="C159" t="e">
        <f>VLOOKUP(A159,'264 ROIs'!A:AK,37,0)</f>
        <v>#N/A</v>
      </c>
      <c r="D159" t="e">
        <v>#N/A</v>
      </c>
      <c r="E159" t="e">
        <f t="shared" si="6"/>
        <v>#N/A</v>
      </c>
      <c r="F159" t="e">
        <f t="shared" si="7"/>
        <v>#N/A</v>
      </c>
      <c r="G159" t="e">
        <f t="shared" si="8"/>
        <v>#N/A</v>
      </c>
      <c r="I159" t="s">
        <v>148</v>
      </c>
    </row>
    <row r="160" spans="1:9" x14ac:dyDescent="0.2">
      <c r="A160">
        <v>159</v>
      </c>
      <c r="B160" s="26" t="s">
        <v>43</v>
      </c>
      <c r="C160" t="e">
        <f>VLOOKUP(A160,'264 ROIs'!A:AK,37,0)</f>
        <v>#N/A</v>
      </c>
      <c r="D160" t="e">
        <v>#N/A</v>
      </c>
      <c r="E160" t="e">
        <f t="shared" si="6"/>
        <v>#N/A</v>
      </c>
      <c r="F160" t="e">
        <f t="shared" si="7"/>
        <v>#N/A</v>
      </c>
      <c r="G160" t="e">
        <f t="shared" si="8"/>
        <v>#N/A</v>
      </c>
      <c r="I160" t="s">
        <v>149</v>
      </c>
    </row>
    <row r="161" spans="1:9" x14ac:dyDescent="0.2">
      <c r="A161">
        <v>160</v>
      </c>
      <c r="B161" s="26" t="s">
        <v>43</v>
      </c>
      <c r="C161" t="e">
        <f>VLOOKUP(A161,'264 ROIs'!A:AK,37,0)</f>
        <v>#N/A</v>
      </c>
      <c r="D161" t="e">
        <v>#N/A</v>
      </c>
      <c r="E161" t="e">
        <f t="shared" si="6"/>
        <v>#N/A</v>
      </c>
      <c r="F161" t="e">
        <f t="shared" si="7"/>
        <v>#N/A</v>
      </c>
      <c r="G161" t="e">
        <f t="shared" si="8"/>
        <v>#N/A</v>
      </c>
      <c r="I161" t="s">
        <v>150</v>
      </c>
    </row>
    <row r="162" spans="1:9" x14ac:dyDescent="0.2">
      <c r="A162">
        <v>161</v>
      </c>
      <c r="B162" s="26" t="s">
        <v>43</v>
      </c>
      <c r="C162" t="e">
        <f>VLOOKUP(A162,'264 ROIs'!A:AK,37,0)</f>
        <v>#N/A</v>
      </c>
      <c r="D162" t="e">
        <v>#N/A</v>
      </c>
      <c r="E162" t="e">
        <f t="shared" si="6"/>
        <v>#N/A</v>
      </c>
      <c r="F162" t="e">
        <f t="shared" si="7"/>
        <v>#N/A</v>
      </c>
      <c r="G162" t="e">
        <f t="shared" si="8"/>
        <v>#N/A</v>
      </c>
      <c r="I162" t="s">
        <v>151</v>
      </c>
    </row>
    <row r="163" spans="1:9" x14ac:dyDescent="0.2">
      <c r="A163">
        <v>162</v>
      </c>
      <c r="B163" s="26" t="s">
        <v>43</v>
      </c>
      <c r="C163" t="e">
        <f>VLOOKUP(A163,'264 ROIs'!A:AK,37,0)</f>
        <v>#N/A</v>
      </c>
      <c r="D163" t="e">
        <v>#N/A</v>
      </c>
      <c r="E163" t="e">
        <f t="shared" si="6"/>
        <v>#N/A</v>
      </c>
      <c r="F163" t="e">
        <f t="shared" si="7"/>
        <v>#N/A</v>
      </c>
      <c r="G163" t="e">
        <f t="shared" si="8"/>
        <v>#N/A</v>
      </c>
      <c r="I163" t="s">
        <v>152</v>
      </c>
    </row>
    <row r="164" spans="1:9" x14ac:dyDescent="0.2">
      <c r="A164">
        <v>163</v>
      </c>
      <c r="B164" s="26" t="s">
        <v>43</v>
      </c>
      <c r="C164" t="e">
        <f>VLOOKUP(A164,'264 ROIs'!A:AK,37,0)</f>
        <v>#N/A</v>
      </c>
      <c r="D164" t="e">
        <v>#N/A</v>
      </c>
      <c r="E164" t="e">
        <f t="shared" si="6"/>
        <v>#N/A</v>
      </c>
      <c r="F164" t="e">
        <f t="shared" si="7"/>
        <v>#N/A</v>
      </c>
      <c r="G164" t="e">
        <f t="shared" si="8"/>
        <v>#N/A</v>
      </c>
      <c r="I164" t="s">
        <v>153</v>
      </c>
    </row>
    <row r="165" spans="1:9" x14ac:dyDescent="0.2">
      <c r="A165">
        <v>164</v>
      </c>
      <c r="B165" s="26" t="s">
        <v>43</v>
      </c>
      <c r="C165" t="e">
        <f>VLOOKUP(A165,'264 ROIs'!A:AK,37,0)</f>
        <v>#N/A</v>
      </c>
      <c r="D165" t="e">
        <v>#N/A</v>
      </c>
      <c r="E165" t="e">
        <f t="shared" si="6"/>
        <v>#N/A</v>
      </c>
      <c r="F165" t="e">
        <f t="shared" si="7"/>
        <v>#N/A</v>
      </c>
      <c r="G165" t="e">
        <f t="shared" si="8"/>
        <v>#N/A</v>
      </c>
      <c r="I165" t="s">
        <v>154</v>
      </c>
    </row>
    <row r="166" spans="1:9" x14ac:dyDescent="0.2">
      <c r="A166">
        <v>165</v>
      </c>
      <c r="B166" s="26" t="s">
        <v>43</v>
      </c>
      <c r="C166" t="e">
        <f>VLOOKUP(A166,'264 ROIs'!A:AK,37,0)</f>
        <v>#N/A</v>
      </c>
      <c r="D166" t="e">
        <v>#N/A</v>
      </c>
      <c r="E166" t="e">
        <f t="shared" si="6"/>
        <v>#N/A</v>
      </c>
      <c r="F166" t="e">
        <f t="shared" si="7"/>
        <v>#N/A</v>
      </c>
      <c r="G166" t="e">
        <f t="shared" si="8"/>
        <v>#N/A</v>
      </c>
      <c r="I166" t="s">
        <v>155</v>
      </c>
    </row>
    <row r="167" spans="1:9" x14ac:dyDescent="0.2">
      <c r="A167">
        <v>166</v>
      </c>
      <c r="B167" s="26" t="s">
        <v>43</v>
      </c>
      <c r="C167" t="e">
        <f>VLOOKUP(A167,'264 ROIs'!A:AK,37,0)</f>
        <v>#N/A</v>
      </c>
      <c r="D167" t="e">
        <v>#N/A</v>
      </c>
      <c r="E167" t="e">
        <f t="shared" si="6"/>
        <v>#N/A</v>
      </c>
      <c r="F167" t="e">
        <f t="shared" si="7"/>
        <v>#N/A</v>
      </c>
      <c r="G167" t="e">
        <f t="shared" si="8"/>
        <v>#N/A</v>
      </c>
      <c r="I167" t="s">
        <v>156</v>
      </c>
    </row>
    <row r="168" spans="1:9" x14ac:dyDescent="0.2">
      <c r="A168">
        <v>167</v>
      </c>
      <c r="B168" s="26" t="s">
        <v>43</v>
      </c>
      <c r="C168" t="e">
        <f>VLOOKUP(A168,'264 ROIs'!A:AK,37,0)</f>
        <v>#N/A</v>
      </c>
      <c r="D168" t="e">
        <v>#N/A</v>
      </c>
      <c r="E168" t="e">
        <f t="shared" si="6"/>
        <v>#N/A</v>
      </c>
      <c r="F168" t="e">
        <f t="shared" si="7"/>
        <v>#N/A</v>
      </c>
      <c r="G168" t="e">
        <f t="shared" si="8"/>
        <v>#N/A</v>
      </c>
      <c r="I168" t="s">
        <v>157</v>
      </c>
    </row>
    <row r="169" spans="1:9" x14ac:dyDescent="0.2">
      <c r="A169">
        <v>168</v>
      </c>
      <c r="B169" s="26" t="s">
        <v>43</v>
      </c>
      <c r="C169" t="e">
        <f>VLOOKUP(A169,'264 ROIs'!A:AK,37,0)</f>
        <v>#N/A</v>
      </c>
      <c r="D169" t="e">
        <v>#N/A</v>
      </c>
      <c r="E169" t="e">
        <f t="shared" si="6"/>
        <v>#N/A</v>
      </c>
      <c r="F169" t="e">
        <f t="shared" si="7"/>
        <v>#N/A</v>
      </c>
      <c r="G169" t="e">
        <f t="shared" si="8"/>
        <v>#N/A</v>
      </c>
      <c r="I169" t="s">
        <v>158</v>
      </c>
    </row>
    <row r="170" spans="1:9" x14ac:dyDescent="0.2">
      <c r="A170">
        <v>169</v>
      </c>
      <c r="B170" s="26" t="s">
        <v>43</v>
      </c>
      <c r="C170" t="e">
        <f>VLOOKUP(A170,'264 ROIs'!A:AK,37,0)</f>
        <v>#N/A</v>
      </c>
      <c r="D170" t="e">
        <v>#N/A</v>
      </c>
      <c r="E170" t="e">
        <f t="shared" si="6"/>
        <v>#N/A</v>
      </c>
      <c r="F170" t="e">
        <f t="shared" si="7"/>
        <v>#N/A</v>
      </c>
      <c r="G170" t="e">
        <f t="shared" si="8"/>
        <v>#N/A</v>
      </c>
      <c r="I170" t="s">
        <v>159</v>
      </c>
    </row>
    <row r="171" spans="1:9" x14ac:dyDescent="0.2">
      <c r="A171">
        <v>170</v>
      </c>
      <c r="B171" s="26" t="s">
        <v>43</v>
      </c>
      <c r="C171" t="e">
        <f>VLOOKUP(A171,'264 ROIs'!A:AK,37,0)</f>
        <v>#N/A</v>
      </c>
      <c r="D171" t="e">
        <v>#N/A</v>
      </c>
      <c r="E171" t="e">
        <f t="shared" si="6"/>
        <v>#N/A</v>
      </c>
      <c r="F171" t="e">
        <f t="shared" si="7"/>
        <v>#N/A</v>
      </c>
      <c r="G171" t="e">
        <f t="shared" si="8"/>
        <v>#N/A</v>
      </c>
    </row>
    <row r="172" spans="1:9" x14ac:dyDescent="0.2">
      <c r="A172">
        <v>171</v>
      </c>
      <c r="B172" s="26" t="s">
        <v>43</v>
      </c>
      <c r="C172" t="e">
        <f>VLOOKUP(A172,'264 ROIs'!A:AK,37,0)</f>
        <v>#N/A</v>
      </c>
      <c r="D172" t="e">
        <v>#N/A</v>
      </c>
      <c r="E172" t="e">
        <f t="shared" si="6"/>
        <v>#N/A</v>
      </c>
      <c r="F172" t="e">
        <f t="shared" si="7"/>
        <v>#N/A</v>
      </c>
      <c r="G172" t="e">
        <f t="shared" si="8"/>
        <v>#N/A</v>
      </c>
    </row>
    <row r="173" spans="1:9" x14ac:dyDescent="0.2">
      <c r="A173">
        <v>172</v>
      </c>
      <c r="B173" s="26" t="s">
        <v>43</v>
      </c>
      <c r="C173" t="e">
        <f>VLOOKUP(A173,'264 ROIs'!A:AK,37,0)</f>
        <v>#N/A</v>
      </c>
      <c r="D173" t="e">
        <v>#N/A</v>
      </c>
      <c r="E173" t="e">
        <f t="shared" si="6"/>
        <v>#N/A</v>
      </c>
      <c r="F173" t="e">
        <f t="shared" si="7"/>
        <v>#N/A</v>
      </c>
      <c r="G173" t="e">
        <f t="shared" si="8"/>
        <v>#N/A</v>
      </c>
    </row>
    <row r="174" spans="1:9" x14ac:dyDescent="0.2">
      <c r="A174">
        <v>173</v>
      </c>
      <c r="B174" s="26" t="s">
        <v>43</v>
      </c>
      <c r="C174" t="e">
        <f>VLOOKUP(A174,'264 ROIs'!A:AK,37,0)</f>
        <v>#N/A</v>
      </c>
      <c r="D174" t="e">
        <v>#N/A</v>
      </c>
      <c r="E174" t="e">
        <f t="shared" si="6"/>
        <v>#N/A</v>
      </c>
      <c r="F174" t="e">
        <f t="shared" si="7"/>
        <v>#N/A</v>
      </c>
      <c r="G174" t="e">
        <f t="shared" si="8"/>
        <v>#N/A</v>
      </c>
    </row>
    <row r="175" spans="1:9" x14ac:dyDescent="0.2">
      <c r="A175">
        <v>174</v>
      </c>
      <c r="B175" s="27" t="s">
        <v>44</v>
      </c>
      <c r="C175" t="str">
        <f>VLOOKUP(A175,'264 ROIs'!A:AK,37,0)</f>
        <v>Fronto-parietal Task Control</v>
      </c>
      <c r="D175" t="s">
        <v>55</v>
      </c>
      <c r="E175" t="str">
        <f t="shared" si="6"/>
        <v>YES</v>
      </c>
      <c r="F175" t="str">
        <f t="shared" si="7"/>
        <v>FrontoParietal</v>
      </c>
      <c r="G175" t="str">
        <f t="shared" si="8"/>
        <v>FrontoParietal_174</v>
      </c>
    </row>
    <row r="176" spans="1:9" x14ac:dyDescent="0.2">
      <c r="A176">
        <v>175</v>
      </c>
      <c r="B176" s="27" t="s">
        <v>44</v>
      </c>
      <c r="C176" t="str">
        <f>VLOOKUP(A176,'264 ROIs'!A:AK,37,0)</f>
        <v>Fronto-parietal Task Control</v>
      </c>
      <c r="D176" t="s">
        <v>55</v>
      </c>
      <c r="E176" t="str">
        <f t="shared" si="6"/>
        <v>YES</v>
      </c>
      <c r="F176" t="str">
        <f t="shared" si="7"/>
        <v>FrontoParietal</v>
      </c>
      <c r="G176" t="str">
        <f t="shared" si="8"/>
        <v>FrontoParietal_175</v>
      </c>
    </row>
    <row r="177" spans="1:7" x14ac:dyDescent="0.2">
      <c r="A177">
        <v>176</v>
      </c>
      <c r="B177" s="27" t="s">
        <v>44</v>
      </c>
      <c r="C177" t="str">
        <f>VLOOKUP(A177,'264 ROIs'!A:AK,37,0)</f>
        <v>Fronto-parietal Task Control</v>
      </c>
      <c r="D177" t="s">
        <v>55</v>
      </c>
      <c r="E177" t="str">
        <f t="shared" si="6"/>
        <v>YES</v>
      </c>
      <c r="F177" t="str">
        <f t="shared" si="7"/>
        <v>FrontoParietal</v>
      </c>
      <c r="G177" t="str">
        <f t="shared" si="8"/>
        <v>FrontoParietal_176</v>
      </c>
    </row>
    <row r="178" spans="1:7" x14ac:dyDescent="0.2">
      <c r="A178">
        <v>177</v>
      </c>
      <c r="B178" s="27" t="s">
        <v>44</v>
      </c>
      <c r="C178" t="str">
        <f>VLOOKUP(A178,'264 ROIs'!A:AK,37,0)</f>
        <v>Fronto-parietal Task Control</v>
      </c>
      <c r="D178" t="s">
        <v>55</v>
      </c>
      <c r="E178" t="str">
        <f t="shared" si="6"/>
        <v>YES</v>
      </c>
      <c r="F178" t="str">
        <f t="shared" si="7"/>
        <v>FrontoParietal</v>
      </c>
      <c r="G178" t="str">
        <f t="shared" si="8"/>
        <v>FrontoParietal_177</v>
      </c>
    </row>
    <row r="179" spans="1:7" x14ac:dyDescent="0.2">
      <c r="A179">
        <v>178</v>
      </c>
      <c r="B179" s="27" t="s">
        <v>44</v>
      </c>
      <c r="C179" t="str">
        <f>VLOOKUP(A179,'264 ROIs'!A:AK,37,0)</f>
        <v>Fronto-parietal Task Control</v>
      </c>
      <c r="D179" t="s">
        <v>55</v>
      </c>
      <c r="E179" t="str">
        <f t="shared" si="6"/>
        <v>YES</v>
      </c>
      <c r="F179" t="str">
        <f t="shared" si="7"/>
        <v>FrontoParietal</v>
      </c>
      <c r="G179" t="str">
        <f t="shared" si="8"/>
        <v>FrontoParietal_178</v>
      </c>
    </row>
    <row r="180" spans="1:7" x14ac:dyDescent="0.2">
      <c r="A180">
        <v>179</v>
      </c>
      <c r="B180" s="27" t="s">
        <v>44</v>
      </c>
      <c r="C180" t="str">
        <f>VLOOKUP(A180,'264 ROIs'!A:AK,37,0)</f>
        <v>Fronto-parietal Task Control</v>
      </c>
      <c r="D180" t="s">
        <v>55</v>
      </c>
      <c r="E180" t="str">
        <f t="shared" si="6"/>
        <v>YES</v>
      </c>
      <c r="F180" t="str">
        <f t="shared" si="7"/>
        <v>FrontoParietal</v>
      </c>
      <c r="G180" t="str">
        <f t="shared" si="8"/>
        <v>FrontoParietal_179</v>
      </c>
    </row>
    <row r="181" spans="1:7" x14ac:dyDescent="0.2">
      <c r="A181">
        <v>180</v>
      </c>
      <c r="B181" s="27" t="s">
        <v>44</v>
      </c>
      <c r="C181" t="str">
        <f>VLOOKUP(A181,'264 ROIs'!A:AK,37,0)</f>
        <v>Fronto-parietal Task Control</v>
      </c>
      <c r="D181" t="s">
        <v>55</v>
      </c>
      <c r="E181" t="str">
        <f t="shared" si="6"/>
        <v>YES</v>
      </c>
      <c r="F181" t="str">
        <f t="shared" si="7"/>
        <v>FrontoParietal</v>
      </c>
      <c r="G181" t="str">
        <f t="shared" si="8"/>
        <v>FrontoParietal_180</v>
      </c>
    </row>
    <row r="182" spans="1:7" x14ac:dyDescent="0.2">
      <c r="A182">
        <v>181</v>
      </c>
      <c r="B182" s="27" t="s">
        <v>44</v>
      </c>
      <c r="C182" t="str">
        <f>VLOOKUP(A182,'264 ROIs'!A:AK,37,0)</f>
        <v>Fronto-parietal Task Control</v>
      </c>
      <c r="D182" t="s">
        <v>55</v>
      </c>
      <c r="E182" t="str">
        <f t="shared" si="6"/>
        <v>YES</v>
      </c>
      <c r="F182" t="str">
        <f t="shared" si="7"/>
        <v>FrontoParietal</v>
      </c>
      <c r="G182" t="str">
        <f t="shared" si="8"/>
        <v>FrontoParietal_181</v>
      </c>
    </row>
    <row r="183" spans="1:7" x14ac:dyDescent="0.2">
      <c r="A183">
        <v>182</v>
      </c>
      <c r="B183" s="26" t="s">
        <v>28</v>
      </c>
      <c r="C183" t="str">
        <f>VLOOKUP(A183,'264 ROIs'!A:AK,37,0)</f>
        <v>Uncertain</v>
      </c>
      <c r="D183" t="s">
        <v>28</v>
      </c>
      <c r="E183" t="str">
        <f t="shared" si="6"/>
        <v>NO</v>
      </c>
      <c r="F183" t="str">
        <f t="shared" si="7"/>
        <v/>
      </c>
      <c r="G183" t="str">
        <f t="shared" si="8"/>
        <v/>
      </c>
    </row>
    <row r="184" spans="1:7" x14ac:dyDescent="0.2">
      <c r="A184">
        <v>183</v>
      </c>
      <c r="B184" s="26" t="s">
        <v>28</v>
      </c>
      <c r="C184" t="str">
        <f>VLOOKUP(A184,'264 ROIs'!A:AK,37,0)</f>
        <v>Uncertain</v>
      </c>
      <c r="D184" t="s">
        <v>28</v>
      </c>
      <c r="E184" t="str">
        <f t="shared" si="6"/>
        <v>NO</v>
      </c>
      <c r="F184" t="str">
        <f t="shared" si="7"/>
        <v/>
      </c>
      <c r="G184" t="str">
        <f t="shared" si="8"/>
        <v/>
      </c>
    </row>
    <row r="185" spans="1:7" x14ac:dyDescent="0.2">
      <c r="A185">
        <v>184</v>
      </c>
      <c r="B185" s="26" t="s">
        <v>28</v>
      </c>
      <c r="C185" t="str">
        <f>VLOOKUP(A185,'264 ROIs'!A:AK,37,0)</f>
        <v>Uncertain</v>
      </c>
      <c r="D185" t="s">
        <v>28</v>
      </c>
      <c r="E185" t="str">
        <f t="shared" si="6"/>
        <v>NO</v>
      </c>
      <c r="F185" t="str">
        <f t="shared" si="7"/>
        <v/>
      </c>
      <c r="G185" t="str">
        <f t="shared" si="8"/>
        <v/>
      </c>
    </row>
    <row r="186" spans="1:7" x14ac:dyDescent="0.2">
      <c r="A186">
        <v>185</v>
      </c>
      <c r="B186" s="26" t="s">
        <v>28</v>
      </c>
      <c r="C186" t="str">
        <f>VLOOKUP(A186,'264 ROIs'!A:AK,37,0)</f>
        <v>Uncertain</v>
      </c>
      <c r="D186" t="s">
        <v>28</v>
      </c>
      <c r="E186" t="str">
        <f t="shared" si="6"/>
        <v>NO</v>
      </c>
      <c r="F186" t="str">
        <f t="shared" si="7"/>
        <v/>
      </c>
      <c r="G186" t="str">
        <f t="shared" si="8"/>
        <v/>
      </c>
    </row>
    <row r="187" spans="1:7" x14ac:dyDescent="0.2">
      <c r="A187">
        <v>186</v>
      </c>
      <c r="B187" s="27" t="s">
        <v>44</v>
      </c>
      <c r="C187" t="str">
        <f>VLOOKUP(A187,'264 ROIs'!A:AK,37,0)</f>
        <v>Fronto-parietal Task Control</v>
      </c>
      <c r="D187" t="s">
        <v>55</v>
      </c>
      <c r="E187" t="str">
        <f t="shared" si="6"/>
        <v>YES</v>
      </c>
      <c r="F187" t="str">
        <f t="shared" si="7"/>
        <v>FrontoParietal</v>
      </c>
      <c r="G187" t="str">
        <f t="shared" si="8"/>
        <v>FrontoParietal_186</v>
      </c>
    </row>
    <row r="188" spans="1:7" x14ac:dyDescent="0.2">
      <c r="A188">
        <v>187</v>
      </c>
      <c r="B188" s="27" t="s">
        <v>44</v>
      </c>
      <c r="C188" t="str">
        <f>VLOOKUP(A188,'264 ROIs'!A:AK,37,0)</f>
        <v>Fronto-parietal Task Control</v>
      </c>
      <c r="D188" t="s">
        <v>55</v>
      </c>
      <c r="E188" t="str">
        <f t="shared" si="6"/>
        <v>YES</v>
      </c>
      <c r="F188" t="str">
        <f t="shared" si="7"/>
        <v>FrontoParietal</v>
      </c>
      <c r="G188" t="str">
        <f t="shared" si="8"/>
        <v>FrontoParietal_187</v>
      </c>
    </row>
    <row r="189" spans="1:7" x14ac:dyDescent="0.2">
      <c r="A189">
        <v>188</v>
      </c>
      <c r="B189" s="27" t="s">
        <v>44</v>
      </c>
      <c r="C189" t="str">
        <f>VLOOKUP(A189,'264 ROIs'!A:AK,37,0)</f>
        <v>Fronto-parietal Task Control</v>
      </c>
      <c r="D189" t="s">
        <v>55</v>
      </c>
      <c r="E189" t="str">
        <f t="shared" si="6"/>
        <v>YES</v>
      </c>
      <c r="F189" t="str">
        <f t="shared" si="7"/>
        <v>FrontoParietal</v>
      </c>
      <c r="G189" t="str">
        <f t="shared" si="8"/>
        <v>FrontoParietal_188</v>
      </c>
    </row>
    <row r="190" spans="1:7" x14ac:dyDescent="0.2">
      <c r="A190">
        <v>189</v>
      </c>
      <c r="B190" s="27" t="s">
        <v>44</v>
      </c>
      <c r="C190" t="str">
        <f>VLOOKUP(A190,'264 ROIs'!A:AK,37,0)</f>
        <v>Fronto-parietal Task Control</v>
      </c>
      <c r="D190" t="s">
        <v>55</v>
      </c>
      <c r="E190" t="str">
        <f t="shared" si="6"/>
        <v>YES</v>
      </c>
      <c r="F190" t="str">
        <f t="shared" si="7"/>
        <v>FrontoParietal</v>
      </c>
      <c r="G190" t="str">
        <f t="shared" si="8"/>
        <v>FrontoParietal_189</v>
      </c>
    </row>
    <row r="191" spans="1:7" x14ac:dyDescent="0.2">
      <c r="A191">
        <v>190</v>
      </c>
      <c r="B191" s="27" t="s">
        <v>44</v>
      </c>
      <c r="C191" t="str">
        <f>VLOOKUP(A191,'264 ROIs'!A:AK,37,0)</f>
        <v>Fronto-parietal Task Control</v>
      </c>
      <c r="D191" t="s">
        <v>55</v>
      </c>
      <c r="E191" t="str">
        <f t="shared" si="6"/>
        <v>YES</v>
      </c>
      <c r="F191" t="str">
        <f t="shared" si="7"/>
        <v>FrontoParietal</v>
      </c>
      <c r="G191" t="str">
        <f t="shared" si="8"/>
        <v>FrontoParietal_190</v>
      </c>
    </row>
    <row r="192" spans="1:7" x14ac:dyDescent="0.2">
      <c r="A192">
        <v>191</v>
      </c>
      <c r="B192" s="27" t="s">
        <v>44</v>
      </c>
      <c r="C192" t="str">
        <f>VLOOKUP(A192,'264 ROIs'!A:AK,37,0)</f>
        <v>Fronto-parietal Task Control</v>
      </c>
      <c r="D192" t="s">
        <v>55</v>
      </c>
      <c r="E192" t="str">
        <f t="shared" si="6"/>
        <v>YES</v>
      </c>
      <c r="F192" t="str">
        <f t="shared" si="7"/>
        <v>FrontoParietal</v>
      </c>
      <c r="G192" t="str">
        <f t="shared" si="8"/>
        <v>FrontoParietal_191</v>
      </c>
    </row>
    <row r="193" spans="1:7" x14ac:dyDescent="0.2">
      <c r="A193">
        <v>192</v>
      </c>
      <c r="B193" s="27" t="s">
        <v>44</v>
      </c>
      <c r="C193" t="str">
        <f>VLOOKUP(A193,'264 ROIs'!A:AK,37,0)</f>
        <v>Fronto-parietal Task Control</v>
      </c>
      <c r="D193" t="s">
        <v>55</v>
      </c>
      <c r="E193" t="str">
        <f t="shared" si="6"/>
        <v>YES</v>
      </c>
      <c r="F193" t="str">
        <f t="shared" si="7"/>
        <v>FrontoParietal</v>
      </c>
      <c r="G193" t="str">
        <f t="shared" si="8"/>
        <v>FrontoParietal_192</v>
      </c>
    </row>
    <row r="194" spans="1:7" x14ac:dyDescent="0.2">
      <c r="A194">
        <v>193</v>
      </c>
      <c r="B194" s="27" t="s">
        <v>44</v>
      </c>
      <c r="C194" t="str">
        <f>VLOOKUP(A194,'264 ROIs'!A:AK,37,0)</f>
        <v>Fronto-parietal Task Control</v>
      </c>
      <c r="D194" t="s">
        <v>55</v>
      </c>
      <c r="E194" t="str">
        <f t="shared" si="6"/>
        <v>YES</v>
      </c>
      <c r="F194" t="str">
        <f t="shared" si="7"/>
        <v>FrontoParietal</v>
      </c>
      <c r="G194" t="str">
        <f t="shared" si="8"/>
        <v>FrontoParietal_193</v>
      </c>
    </row>
    <row r="195" spans="1:7" x14ac:dyDescent="0.2">
      <c r="A195">
        <v>194</v>
      </c>
      <c r="B195" s="27" t="s">
        <v>44</v>
      </c>
      <c r="C195" t="str">
        <f>VLOOKUP(A195,'264 ROIs'!A:AK,37,0)</f>
        <v>Fronto-parietal Task Control</v>
      </c>
      <c r="D195" t="s">
        <v>55</v>
      </c>
      <c r="E195" t="str">
        <f t="shared" ref="E195:E258" si="9">IF(D195="Default mode","YES",IF(D195="Fronto-parietal Task Control","YES",IF(D195="Subcortical","YES","NO")))</f>
        <v>YES</v>
      </c>
      <c r="F195" t="str">
        <f t="shared" ref="F195:F258" si="10">IF(E195="YES",B195,"")</f>
        <v>FrontoParietal</v>
      </c>
      <c r="G195" t="str">
        <f t="shared" ref="G195:G258" si="11">IF(F195="","",F195&amp;"_"&amp;A195)</f>
        <v>FrontoParietal_194</v>
      </c>
    </row>
    <row r="196" spans="1:7" x14ac:dyDescent="0.2">
      <c r="A196">
        <v>195</v>
      </c>
      <c r="B196" s="27" t="s">
        <v>44</v>
      </c>
      <c r="C196" t="str">
        <f>VLOOKUP(A196,'264 ROIs'!A:AK,37,0)</f>
        <v>Fronto-parietal Task Control</v>
      </c>
      <c r="D196" t="s">
        <v>55</v>
      </c>
      <c r="E196" t="str">
        <f t="shared" si="9"/>
        <v>YES</v>
      </c>
      <c r="F196" t="str">
        <f t="shared" si="10"/>
        <v>FrontoParietal</v>
      </c>
      <c r="G196" t="str">
        <f t="shared" si="11"/>
        <v>FrontoParietal_195</v>
      </c>
    </row>
    <row r="197" spans="1:7" x14ac:dyDescent="0.2">
      <c r="A197">
        <v>196</v>
      </c>
      <c r="B197" s="27" t="s">
        <v>44</v>
      </c>
      <c r="C197" t="str">
        <f>VLOOKUP(A197,'264 ROIs'!A:AK,37,0)</f>
        <v>Fronto-parietal Task Control</v>
      </c>
      <c r="D197" t="s">
        <v>55</v>
      </c>
      <c r="E197" t="str">
        <f t="shared" si="9"/>
        <v>YES</v>
      </c>
      <c r="F197" t="str">
        <f t="shared" si="10"/>
        <v>FrontoParietal</v>
      </c>
      <c r="G197" t="str">
        <f t="shared" si="11"/>
        <v>FrontoParietal_196</v>
      </c>
    </row>
    <row r="198" spans="1:7" x14ac:dyDescent="0.2">
      <c r="A198">
        <v>197</v>
      </c>
      <c r="B198" s="27" t="s">
        <v>44</v>
      </c>
      <c r="C198" t="str">
        <f>VLOOKUP(A198,'264 ROIs'!A:AK,37,0)</f>
        <v>Fronto-parietal Task Control</v>
      </c>
      <c r="D198" t="s">
        <v>55</v>
      </c>
      <c r="E198" t="str">
        <f t="shared" si="9"/>
        <v>YES</v>
      </c>
      <c r="F198" t="str">
        <f t="shared" si="10"/>
        <v>FrontoParietal</v>
      </c>
      <c r="G198" t="str">
        <f t="shared" si="11"/>
        <v>FrontoParietal_197</v>
      </c>
    </row>
    <row r="199" spans="1:7" x14ac:dyDescent="0.2">
      <c r="A199">
        <v>198</v>
      </c>
      <c r="B199" s="27" t="s">
        <v>44</v>
      </c>
      <c r="C199" t="str">
        <f>VLOOKUP(A199,'264 ROIs'!A:AK,37,0)</f>
        <v>Fronto-parietal Task Control</v>
      </c>
      <c r="D199" t="s">
        <v>55</v>
      </c>
      <c r="E199" t="str">
        <f t="shared" si="9"/>
        <v>YES</v>
      </c>
      <c r="F199" t="str">
        <f t="shared" si="10"/>
        <v>FrontoParietal</v>
      </c>
      <c r="G199" t="str">
        <f t="shared" si="11"/>
        <v>FrontoParietal_198</v>
      </c>
    </row>
    <row r="200" spans="1:7" x14ac:dyDescent="0.2">
      <c r="A200">
        <v>199</v>
      </c>
      <c r="B200" s="27" t="s">
        <v>44</v>
      </c>
      <c r="C200" t="str">
        <f>VLOOKUP(A200,'264 ROIs'!A:AK,37,0)</f>
        <v>Fronto-parietal Task Control</v>
      </c>
      <c r="D200" t="s">
        <v>55</v>
      </c>
      <c r="E200" t="str">
        <f t="shared" si="9"/>
        <v>YES</v>
      </c>
      <c r="F200" t="str">
        <f t="shared" si="10"/>
        <v>FrontoParietal</v>
      </c>
      <c r="G200" t="str">
        <f t="shared" si="11"/>
        <v>FrontoParietal_199</v>
      </c>
    </row>
    <row r="201" spans="1:7" x14ac:dyDescent="0.2">
      <c r="A201">
        <v>200</v>
      </c>
      <c r="B201" s="27" t="s">
        <v>44</v>
      </c>
      <c r="C201" t="str">
        <f>VLOOKUP(A201,'264 ROIs'!A:AK,37,0)</f>
        <v>Fronto-parietal Task Control</v>
      </c>
      <c r="D201" t="s">
        <v>55</v>
      </c>
      <c r="E201" t="str">
        <f t="shared" si="9"/>
        <v>YES</v>
      </c>
      <c r="F201" t="str">
        <f t="shared" si="10"/>
        <v>FrontoParietal</v>
      </c>
      <c r="G201" t="str">
        <f t="shared" si="11"/>
        <v>FrontoParietal_200</v>
      </c>
    </row>
    <row r="202" spans="1:7" x14ac:dyDescent="0.2">
      <c r="A202">
        <v>201</v>
      </c>
      <c r="B202" s="27" t="s">
        <v>44</v>
      </c>
      <c r="C202" t="str">
        <f>VLOOKUP(A202,'264 ROIs'!A:AK,37,0)</f>
        <v>Fronto-parietal Task Control</v>
      </c>
      <c r="D202" t="s">
        <v>55</v>
      </c>
      <c r="E202" t="str">
        <f t="shared" si="9"/>
        <v>YES</v>
      </c>
      <c r="F202" t="str">
        <f t="shared" si="10"/>
        <v>FrontoParietal</v>
      </c>
      <c r="G202" t="str">
        <f t="shared" si="11"/>
        <v>FrontoParietal_201</v>
      </c>
    </row>
    <row r="203" spans="1:7" x14ac:dyDescent="0.2">
      <c r="A203">
        <v>202</v>
      </c>
      <c r="B203" s="27" t="s">
        <v>44</v>
      </c>
      <c r="C203" t="str">
        <f>VLOOKUP(A203,'264 ROIs'!A:AK,37,0)</f>
        <v>Fronto-parietal Task Control</v>
      </c>
      <c r="D203" t="s">
        <v>55</v>
      </c>
      <c r="E203" t="str">
        <f t="shared" si="9"/>
        <v>YES</v>
      </c>
      <c r="F203" t="str">
        <f t="shared" si="10"/>
        <v>FrontoParietal</v>
      </c>
      <c r="G203" t="str">
        <f t="shared" si="11"/>
        <v>FrontoParietal_202</v>
      </c>
    </row>
    <row r="204" spans="1:7" x14ac:dyDescent="0.2">
      <c r="A204">
        <v>203</v>
      </c>
      <c r="B204" s="26" t="s">
        <v>45</v>
      </c>
      <c r="C204" t="str">
        <f>VLOOKUP(A204,'264 ROIs'!A:AK,37,0)</f>
        <v>Salience</v>
      </c>
      <c r="D204" t="s">
        <v>45</v>
      </c>
      <c r="E204" t="str">
        <f t="shared" si="9"/>
        <v>NO</v>
      </c>
      <c r="F204" t="str">
        <f t="shared" si="10"/>
        <v/>
      </c>
      <c r="G204" t="str">
        <f t="shared" si="11"/>
        <v/>
      </c>
    </row>
    <row r="205" spans="1:7" x14ac:dyDescent="0.2">
      <c r="A205">
        <v>204</v>
      </c>
      <c r="B205" s="26" t="s">
        <v>45</v>
      </c>
      <c r="C205" t="str">
        <f>VLOOKUP(A205,'264 ROIs'!A:AK,37,0)</f>
        <v>Salience</v>
      </c>
      <c r="D205" t="s">
        <v>45</v>
      </c>
      <c r="E205" t="str">
        <f t="shared" si="9"/>
        <v>NO</v>
      </c>
      <c r="F205" t="str">
        <f t="shared" si="10"/>
        <v/>
      </c>
      <c r="G205" t="str">
        <f t="shared" si="11"/>
        <v/>
      </c>
    </row>
    <row r="206" spans="1:7" x14ac:dyDescent="0.2">
      <c r="A206">
        <v>205</v>
      </c>
      <c r="B206" s="26" t="s">
        <v>45</v>
      </c>
      <c r="C206" t="str">
        <f>VLOOKUP(A206,'264 ROIs'!A:AK,37,0)</f>
        <v>Salience</v>
      </c>
      <c r="D206" t="s">
        <v>45</v>
      </c>
      <c r="E206" t="str">
        <f t="shared" si="9"/>
        <v>NO</v>
      </c>
      <c r="F206" t="str">
        <f t="shared" si="10"/>
        <v/>
      </c>
      <c r="G206" t="str">
        <f t="shared" si="11"/>
        <v/>
      </c>
    </row>
    <row r="207" spans="1:7" x14ac:dyDescent="0.2">
      <c r="A207">
        <v>206</v>
      </c>
      <c r="B207" s="26" t="s">
        <v>45</v>
      </c>
      <c r="C207" t="str">
        <f>VLOOKUP(A207,'264 ROIs'!A:AK,37,0)</f>
        <v>Salience</v>
      </c>
      <c r="D207" t="s">
        <v>45</v>
      </c>
      <c r="E207" t="str">
        <f t="shared" si="9"/>
        <v>NO</v>
      </c>
      <c r="F207" t="str">
        <f t="shared" si="10"/>
        <v/>
      </c>
      <c r="G207" t="str">
        <f t="shared" si="11"/>
        <v/>
      </c>
    </row>
    <row r="208" spans="1:7" x14ac:dyDescent="0.2">
      <c r="A208">
        <v>207</v>
      </c>
      <c r="B208" s="26" t="s">
        <v>45</v>
      </c>
      <c r="C208" t="str">
        <f>VLOOKUP(A208,'264 ROIs'!A:AK,37,0)</f>
        <v>Salience</v>
      </c>
      <c r="D208" t="s">
        <v>45</v>
      </c>
      <c r="E208" t="str">
        <f t="shared" si="9"/>
        <v>NO</v>
      </c>
      <c r="F208" t="str">
        <f t="shared" si="10"/>
        <v/>
      </c>
      <c r="G208" t="str">
        <f t="shared" si="11"/>
        <v/>
      </c>
    </row>
    <row r="209" spans="1:7" x14ac:dyDescent="0.2">
      <c r="A209">
        <v>208</v>
      </c>
      <c r="B209" s="26" t="s">
        <v>45</v>
      </c>
      <c r="C209" t="str">
        <f>VLOOKUP(A209,'264 ROIs'!A:AK,37,0)</f>
        <v>Salience</v>
      </c>
      <c r="D209" t="s">
        <v>45</v>
      </c>
      <c r="E209" t="str">
        <f t="shared" si="9"/>
        <v>NO</v>
      </c>
      <c r="F209" t="str">
        <f t="shared" si="10"/>
        <v/>
      </c>
      <c r="G209" t="str">
        <f t="shared" si="11"/>
        <v/>
      </c>
    </row>
    <row r="210" spans="1:7" x14ac:dyDescent="0.2">
      <c r="A210">
        <v>209</v>
      </c>
      <c r="B210" s="26" t="s">
        <v>45</v>
      </c>
      <c r="C210" t="str">
        <f>VLOOKUP(A210,'264 ROIs'!A:AK,37,0)</f>
        <v>Salience</v>
      </c>
      <c r="D210" t="s">
        <v>45</v>
      </c>
      <c r="E210" t="str">
        <f t="shared" si="9"/>
        <v>NO</v>
      </c>
      <c r="F210" t="str">
        <f t="shared" si="10"/>
        <v/>
      </c>
      <c r="G210" t="str">
        <f t="shared" si="11"/>
        <v/>
      </c>
    </row>
    <row r="211" spans="1:7" x14ac:dyDescent="0.2">
      <c r="A211">
        <v>210</v>
      </c>
      <c r="B211" s="26" t="s">
        <v>45</v>
      </c>
      <c r="C211" t="str">
        <f>VLOOKUP(A211,'264 ROIs'!A:AK,37,0)</f>
        <v>Salience</v>
      </c>
      <c r="D211" t="s">
        <v>45</v>
      </c>
      <c r="E211" t="str">
        <f t="shared" si="9"/>
        <v>NO</v>
      </c>
      <c r="F211" t="str">
        <f t="shared" si="10"/>
        <v/>
      </c>
      <c r="G211" t="str">
        <f t="shared" si="11"/>
        <v/>
      </c>
    </row>
    <row r="212" spans="1:7" x14ac:dyDescent="0.2">
      <c r="A212">
        <v>211</v>
      </c>
      <c r="B212" s="26" t="s">
        <v>45</v>
      </c>
      <c r="C212" t="str">
        <f>VLOOKUP(A212,'264 ROIs'!A:AK,37,0)</f>
        <v>Salience</v>
      </c>
      <c r="D212" t="s">
        <v>45</v>
      </c>
      <c r="E212" t="str">
        <f t="shared" si="9"/>
        <v>NO</v>
      </c>
      <c r="F212" t="str">
        <f t="shared" si="10"/>
        <v/>
      </c>
      <c r="G212" t="str">
        <f t="shared" si="11"/>
        <v/>
      </c>
    </row>
    <row r="213" spans="1:7" x14ac:dyDescent="0.2">
      <c r="A213">
        <v>212</v>
      </c>
      <c r="B213" s="26" t="s">
        <v>45</v>
      </c>
      <c r="C213" t="str">
        <f>VLOOKUP(A213,'264 ROIs'!A:AK,37,0)</f>
        <v>Salience</v>
      </c>
      <c r="D213" t="s">
        <v>45</v>
      </c>
      <c r="E213" t="str">
        <f t="shared" si="9"/>
        <v>NO</v>
      </c>
      <c r="F213" t="str">
        <f t="shared" si="10"/>
        <v/>
      </c>
      <c r="G213" t="str">
        <f t="shared" si="11"/>
        <v/>
      </c>
    </row>
    <row r="214" spans="1:7" x14ac:dyDescent="0.2">
      <c r="A214">
        <v>213</v>
      </c>
      <c r="B214" s="26" t="s">
        <v>45</v>
      </c>
      <c r="C214" t="str">
        <f>VLOOKUP(A214,'264 ROIs'!A:AK,37,0)</f>
        <v>Salience</v>
      </c>
      <c r="D214" t="s">
        <v>45</v>
      </c>
      <c r="E214" t="str">
        <f t="shared" si="9"/>
        <v>NO</v>
      </c>
      <c r="F214" t="str">
        <f t="shared" si="10"/>
        <v/>
      </c>
      <c r="G214" t="str">
        <f t="shared" si="11"/>
        <v/>
      </c>
    </row>
    <row r="215" spans="1:7" x14ac:dyDescent="0.2">
      <c r="A215">
        <v>214</v>
      </c>
      <c r="B215" s="26" t="s">
        <v>45</v>
      </c>
      <c r="C215" t="str">
        <f>VLOOKUP(A215,'264 ROIs'!A:AK,37,0)</f>
        <v>Salience</v>
      </c>
      <c r="D215" t="s">
        <v>45</v>
      </c>
      <c r="E215" t="str">
        <f t="shared" si="9"/>
        <v>NO</v>
      </c>
      <c r="F215" t="str">
        <f t="shared" si="10"/>
        <v/>
      </c>
      <c r="G215" t="str">
        <f t="shared" si="11"/>
        <v/>
      </c>
    </row>
    <row r="216" spans="1:7" x14ac:dyDescent="0.2">
      <c r="A216">
        <v>215</v>
      </c>
      <c r="B216" s="26" t="s">
        <v>45</v>
      </c>
      <c r="C216" t="str">
        <f>VLOOKUP(A216,'264 ROIs'!A:AK,37,0)</f>
        <v>Salience</v>
      </c>
      <c r="D216" t="s">
        <v>45</v>
      </c>
      <c r="E216" t="str">
        <f t="shared" si="9"/>
        <v>NO</v>
      </c>
      <c r="F216" t="str">
        <f t="shared" si="10"/>
        <v/>
      </c>
      <c r="G216" t="str">
        <f t="shared" si="11"/>
        <v/>
      </c>
    </row>
    <row r="217" spans="1:7" x14ac:dyDescent="0.2">
      <c r="A217">
        <v>216</v>
      </c>
      <c r="B217" s="26" t="s">
        <v>45</v>
      </c>
      <c r="C217" t="str">
        <f>VLOOKUP(A217,'264 ROIs'!A:AK,37,0)</f>
        <v>Salience</v>
      </c>
      <c r="D217" t="s">
        <v>45</v>
      </c>
      <c r="E217" t="str">
        <f t="shared" si="9"/>
        <v>NO</v>
      </c>
      <c r="F217" t="str">
        <f t="shared" si="10"/>
        <v/>
      </c>
      <c r="G217" t="str">
        <f t="shared" si="11"/>
        <v/>
      </c>
    </row>
    <row r="218" spans="1:7" x14ac:dyDescent="0.2">
      <c r="A218">
        <v>217</v>
      </c>
      <c r="B218" s="26" t="s">
        <v>45</v>
      </c>
      <c r="C218" t="str">
        <f>VLOOKUP(A218,'264 ROIs'!A:AK,37,0)</f>
        <v>Salience</v>
      </c>
      <c r="D218" t="s">
        <v>45</v>
      </c>
      <c r="E218" t="str">
        <f t="shared" si="9"/>
        <v>NO</v>
      </c>
      <c r="F218" t="str">
        <f t="shared" si="10"/>
        <v/>
      </c>
      <c r="G218" t="str">
        <f t="shared" si="11"/>
        <v/>
      </c>
    </row>
    <row r="219" spans="1:7" x14ac:dyDescent="0.2">
      <c r="A219">
        <v>218</v>
      </c>
      <c r="B219" s="26" t="s">
        <v>45</v>
      </c>
      <c r="C219" t="str">
        <f>VLOOKUP(A219,'264 ROIs'!A:AK,37,0)</f>
        <v>Salience</v>
      </c>
      <c r="D219" t="s">
        <v>45</v>
      </c>
      <c r="E219" t="str">
        <f t="shared" si="9"/>
        <v>NO</v>
      </c>
      <c r="F219" t="str">
        <f t="shared" si="10"/>
        <v/>
      </c>
      <c r="G219" t="str">
        <f t="shared" si="11"/>
        <v/>
      </c>
    </row>
    <row r="220" spans="1:7" x14ac:dyDescent="0.2">
      <c r="A220">
        <v>219</v>
      </c>
      <c r="B220" s="26" t="s">
        <v>45</v>
      </c>
      <c r="C220" t="str">
        <f>VLOOKUP(A220,'264 ROIs'!A:AK,37,0)</f>
        <v>Salience</v>
      </c>
      <c r="D220" t="s">
        <v>45</v>
      </c>
      <c r="E220" t="str">
        <f t="shared" si="9"/>
        <v>NO</v>
      </c>
      <c r="F220" t="str">
        <f t="shared" si="10"/>
        <v/>
      </c>
      <c r="G220" t="str">
        <f t="shared" si="11"/>
        <v/>
      </c>
    </row>
    <row r="221" spans="1:7" x14ac:dyDescent="0.2">
      <c r="A221">
        <v>220</v>
      </c>
      <c r="B221" s="26" t="s">
        <v>45</v>
      </c>
      <c r="C221" t="str">
        <f>VLOOKUP(A221,'264 ROIs'!A:AK,37,0)</f>
        <v>Salience</v>
      </c>
      <c r="D221" t="s">
        <v>45</v>
      </c>
      <c r="E221" t="str">
        <f t="shared" si="9"/>
        <v>NO</v>
      </c>
      <c r="F221" t="str">
        <f t="shared" si="10"/>
        <v/>
      </c>
      <c r="G221" t="str">
        <f t="shared" si="11"/>
        <v/>
      </c>
    </row>
    <row r="222" spans="1:7" x14ac:dyDescent="0.2">
      <c r="A222">
        <v>221</v>
      </c>
      <c r="B222" s="27" t="s">
        <v>41</v>
      </c>
      <c r="C222" t="str">
        <f>VLOOKUP(A222,'264 ROIs'!A:AK,37,0)</f>
        <v>Memory retrieval?</v>
      </c>
      <c r="D222" t="s">
        <v>53</v>
      </c>
      <c r="E222" t="str">
        <f t="shared" si="9"/>
        <v>NO</v>
      </c>
      <c r="F222" t="str">
        <f t="shared" si="10"/>
        <v/>
      </c>
      <c r="G222" t="str">
        <f t="shared" si="11"/>
        <v/>
      </c>
    </row>
    <row r="223" spans="1:7" x14ac:dyDescent="0.2">
      <c r="A223">
        <v>222</v>
      </c>
      <c r="B223" s="26" t="s">
        <v>46</v>
      </c>
      <c r="C223" t="str">
        <f>VLOOKUP(A223,'264 ROIs'!A:AK,37,0)</f>
        <v>Subcortical</v>
      </c>
      <c r="D223" t="s">
        <v>46</v>
      </c>
      <c r="E223" t="str">
        <f t="shared" si="9"/>
        <v>YES</v>
      </c>
      <c r="F223" t="str">
        <f t="shared" si="10"/>
        <v>Subcortical</v>
      </c>
      <c r="G223" t="str">
        <f t="shared" si="11"/>
        <v>Subcortical_222</v>
      </c>
    </row>
    <row r="224" spans="1:7" x14ac:dyDescent="0.2">
      <c r="A224">
        <v>223</v>
      </c>
      <c r="B224" s="26" t="s">
        <v>46</v>
      </c>
      <c r="C224" t="str">
        <f>VLOOKUP(A224,'264 ROIs'!A:AK,37,0)</f>
        <v>Subcortical</v>
      </c>
      <c r="D224" t="s">
        <v>46</v>
      </c>
      <c r="E224" t="str">
        <f t="shared" si="9"/>
        <v>YES</v>
      </c>
      <c r="F224" t="str">
        <f t="shared" si="10"/>
        <v>Subcortical</v>
      </c>
      <c r="G224" t="str">
        <f t="shared" si="11"/>
        <v>Subcortical_223</v>
      </c>
    </row>
    <row r="225" spans="1:7" x14ac:dyDescent="0.2">
      <c r="A225">
        <v>224</v>
      </c>
      <c r="B225" s="26" t="s">
        <v>46</v>
      </c>
      <c r="C225" t="str">
        <f>VLOOKUP(A225,'264 ROIs'!A:AK,37,0)</f>
        <v>Subcortical</v>
      </c>
      <c r="D225" t="s">
        <v>46</v>
      </c>
      <c r="E225" t="str">
        <f t="shared" si="9"/>
        <v>YES</v>
      </c>
      <c r="F225" t="str">
        <f t="shared" si="10"/>
        <v>Subcortical</v>
      </c>
      <c r="G225" t="str">
        <f t="shared" si="11"/>
        <v>Subcortical_224</v>
      </c>
    </row>
    <row r="226" spans="1:7" x14ac:dyDescent="0.2">
      <c r="A226">
        <v>225</v>
      </c>
      <c r="B226" s="26" t="s">
        <v>46</v>
      </c>
      <c r="C226" t="str">
        <f>VLOOKUP(A226,'264 ROIs'!A:AK,37,0)</f>
        <v>Subcortical</v>
      </c>
      <c r="D226" t="s">
        <v>46</v>
      </c>
      <c r="E226" t="str">
        <f t="shared" si="9"/>
        <v>YES</v>
      </c>
      <c r="F226" t="str">
        <f t="shared" si="10"/>
        <v>Subcortical</v>
      </c>
      <c r="G226" t="str">
        <f t="shared" si="11"/>
        <v>Subcortical_225</v>
      </c>
    </row>
    <row r="227" spans="1:7" x14ac:dyDescent="0.2">
      <c r="A227">
        <v>226</v>
      </c>
      <c r="B227" s="26" t="s">
        <v>46</v>
      </c>
      <c r="C227" t="str">
        <f>VLOOKUP(A227,'264 ROIs'!A:AK,37,0)</f>
        <v>Subcortical</v>
      </c>
      <c r="D227" t="s">
        <v>46</v>
      </c>
      <c r="E227" t="str">
        <f t="shared" si="9"/>
        <v>YES</v>
      </c>
      <c r="F227" t="str">
        <f t="shared" si="10"/>
        <v>Subcortical</v>
      </c>
      <c r="G227" t="str">
        <f t="shared" si="11"/>
        <v>Subcortical_226</v>
      </c>
    </row>
    <row r="228" spans="1:7" x14ac:dyDescent="0.2">
      <c r="A228">
        <v>227</v>
      </c>
      <c r="B228" s="26" t="s">
        <v>46</v>
      </c>
      <c r="C228" t="str">
        <f>VLOOKUP(A228,'264 ROIs'!A:AK,37,0)</f>
        <v>Subcortical</v>
      </c>
      <c r="D228" t="s">
        <v>46</v>
      </c>
      <c r="E228" t="str">
        <f t="shared" si="9"/>
        <v>YES</v>
      </c>
      <c r="F228" t="str">
        <f t="shared" si="10"/>
        <v>Subcortical</v>
      </c>
      <c r="G228" t="str">
        <f t="shared" si="11"/>
        <v>Subcortical_227</v>
      </c>
    </row>
    <row r="229" spans="1:7" x14ac:dyDescent="0.2">
      <c r="A229">
        <v>228</v>
      </c>
      <c r="B229" s="26" t="s">
        <v>46</v>
      </c>
      <c r="C229" t="str">
        <f>VLOOKUP(A229,'264 ROIs'!A:AK,37,0)</f>
        <v>Subcortical</v>
      </c>
      <c r="D229" t="s">
        <v>46</v>
      </c>
      <c r="E229" t="str">
        <f t="shared" si="9"/>
        <v>YES</v>
      </c>
      <c r="F229" t="str">
        <f t="shared" si="10"/>
        <v>Subcortical</v>
      </c>
      <c r="G229" t="str">
        <f t="shared" si="11"/>
        <v>Subcortical_228</v>
      </c>
    </row>
    <row r="230" spans="1:7" x14ac:dyDescent="0.2">
      <c r="A230">
        <v>229</v>
      </c>
      <c r="B230" s="26" t="s">
        <v>46</v>
      </c>
      <c r="C230" t="str">
        <f>VLOOKUP(A230,'264 ROIs'!A:AK,37,0)</f>
        <v>Subcortical</v>
      </c>
      <c r="D230" t="s">
        <v>46</v>
      </c>
      <c r="E230" t="str">
        <f t="shared" si="9"/>
        <v>YES</v>
      </c>
      <c r="F230" t="str">
        <f t="shared" si="10"/>
        <v>Subcortical</v>
      </c>
      <c r="G230" t="str">
        <f t="shared" si="11"/>
        <v>Subcortical_229</v>
      </c>
    </row>
    <row r="231" spans="1:7" x14ac:dyDescent="0.2">
      <c r="A231">
        <v>230</v>
      </c>
      <c r="B231" s="26" t="s">
        <v>46</v>
      </c>
      <c r="C231" t="str">
        <f>VLOOKUP(A231,'264 ROIs'!A:AK,37,0)</f>
        <v>Subcortical</v>
      </c>
      <c r="D231" t="s">
        <v>46</v>
      </c>
      <c r="E231" t="str">
        <f t="shared" si="9"/>
        <v>YES</v>
      </c>
      <c r="F231" t="str">
        <f t="shared" si="10"/>
        <v>Subcortical</v>
      </c>
      <c r="G231" t="str">
        <f t="shared" si="11"/>
        <v>Subcortical_230</v>
      </c>
    </row>
    <row r="232" spans="1:7" x14ac:dyDescent="0.2">
      <c r="A232">
        <v>231</v>
      </c>
      <c r="B232" s="26" t="s">
        <v>46</v>
      </c>
      <c r="C232" t="str">
        <f>VLOOKUP(A232,'264 ROIs'!A:AK,37,0)</f>
        <v>Subcortical</v>
      </c>
      <c r="D232" t="s">
        <v>46</v>
      </c>
      <c r="E232" t="str">
        <f t="shared" si="9"/>
        <v>YES</v>
      </c>
      <c r="F232" t="str">
        <f t="shared" si="10"/>
        <v>Subcortical</v>
      </c>
      <c r="G232" t="str">
        <f t="shared" si="11"/>
        <v>Subcortical_231</v>
      </c>
    </row>
    <row r="233" spans="1:7" x14ac:dyDescent="0.2">
      <c r="A233">
        <v>232</v>
      </c>
      <c r="B233" s="26" t="s">
        <v>46</v>
      </c>
      <c r="C233" t="str">
        <f>VLOOKUP(A233,'264 ROIs'!A:AK,37,0)</f>
        <v>Subcortical</v>
      </c>
      <c r="D233" t="s">
        <v>46</v>
      </c>
      <c r="E233" t="str">
        <f t="shared" si="9"/>
        <v>YES</v>
      </c>
      <c r="F233" t="str">
        <f t="shared" si="10"/>
        <v>Subcortical</v>
      </c>
      <c r="G233" t="str">
        <f t="shared" si="11"/>
        <v>Subcortical_232</v>
      </c>
    </row>
    <row r="234" spans="1:7" x14ac:dyDescent="0.2">
      <c r="A234">
        <v>233</v>
      </c>
      <c r="B234" s="26" t="s">
        <v>46</v>
      </c>
      <c r="C234" t="str">
        <f>VLOOKUP(A234,'264 ROIs'!A:AK,37,0)</f>
        <v>Subcortical</v>
      </c>
      <c r="D234" t="s">
        <v>46</v>
      </c>
      <c r="E234" t="str">
        <f t="shared" si="9"/>
        <v>YES</v>
      </c>
      <c r="F234" t="str">
        <f t="shared" si="10"/>
        <v>Subcortical</v>
      </c>
      <c r="G234" t="str">
        <f t="shared" si="11"/>
        <v>Subcortical_233</v>
      </c>
    </row>
    <row r="235" spans="1:7" x14ac:dyDescent="0.2">
      <c r="A235">
        <v>234</v>
      </c>
      <c r="B235" s="26" t="s">
        <v>46</v>
      </c>
      <c r="C235" t="str">
        <f>VLOOKUP(A235,'264 ROIs'!A:AK,37,0)</f>
        <v>Subcortical</v>
      </c>
      <c r="D235" t="s">
        <v>46</v>
      </c>
      <c r="E235" t="str">
        <f t="shared" si="9"/>
        <v>YES</v>
      </c>
      <c r="F235" t="str">
        <f t="shared" si="10"/>
        <v>Subcortical</v>
      </c>
      <c r="G235" t="str">
        <f t="shared" si="11"/>
        <v>Subcortical_234</v>
      </c>
    </row>
    <row r="236" spans="1:7" x14ac:dyDescent="0.2">
      <c r="A236">
        <v>235</v>
      </c>
      <c r="B236" s="27" t="s">
        <v>42</v>
      </c>
      <c r="C236" t="str">
        <f>VLOOKUP(A236,'264 ROIs'!A:AK,37,0)</f>
        <v>Ventral attention</v>
      </c>
      <c r="D236" t="s">
        <v>54</v>
      </c>
      <c r="E236" t="str">
        <f t="shared" si="9"/>
        <v>NO</v>
      </c>
      <c r="F236" t="str">
        <f t="shared" si="10"/>
        <v/>
      </c>
      <c r="G236" t="str">
        <f t="shared" si="11"/>
        <v/>
      </c>
    </row>
    <row r="237" spans="1:7" x14ac:dyDescent="0.2">
      <c r="A237">
        <v>236</v>
      </c>
      <c r="B237" s="27" t="s">
        <v>42</v>
      </c>
      <c r="C237" t="str">
        <f>VLOOKUP(A237,'264 ROIs'!A:AK,37,0)</f>
        <v>Ventral attention</v>
      </c>
      <c r="D237" t="s">
        <v>54</v>
      </c>
      <c r="E237" t="str">
        <f t="shared" si="9"/>
        <v>NO</v>
      </c>
      <c r="F237" t="str">
        <f t="shared" si="10"/>
        <v/>
      </c>
      <c r="G237" t="str">
        <f t="shared" si="11"/>
        <v/>
      </c>
    </row>
    <row r="238" spans="1:7" x14ac:dyDescent="0.2">
      <c r="A238">
        <v>237</v>
      </c>
      <c r="B238" s="27" t="s">
        <v>42</v>
      </c>
      <c r="C238" t="str">
        <f>VLOOKUP(A238,'264 ROIs'!A:AK,37,0)</f>
        <v>Ventral attention</v>
      </c>
      <c r="D238" t="s">
        <v>54</v>
      </c>
      <c r="E238" t="str">
        <f t="shared" si="9"/>
        <v>NO</v>
      </c>
      <c r="F238" t="str">
        <f t="shared" si="10"/>
        <v/>
      </c>
      <c r="G238" t="str">
        <f t="shared" si="11"/>
        <v/>
      </c>
    </row>
    <row r="239" spans="1:7" x14ac:dyDescent="0.2">
      <c r="A239">
        <v>238</v>
      </c>
      <c r="B239" s="27" t="s">
        <v>42</v>
      </c>
      <c r="C239" t="str">
        <f>VLOOKUP(A239,'264 ROIs'!A:AK,37,0)</f>
        <v>Ventral attention</v>
      </c>
      <c r="D239" t="s">
        <v>54</v>
      </c>
      <c r="E239" t="str">
        <f t="shared" si="9"/>
        <v>NO</v>
      </c>
      <c r="F239" t="str">
        <f t="shared" si="10"/>
        <v/>
      </c>
      <c r="G239" t="str">
        <f t="shared" si="11"/>
        <v/>
      </c>
    </row>
    <row r="240" spans="1:7" x14ac:dyDescent="0.2">
      <c r="A240">
        <v>239</v>
      </c>
      <c r="B240" s="27" t="s">
        <v>42</v>
      </c>
      <c r="C240" t="str">
        <f>VLOOKUP(A240,'264 ROIs'!A:AK,37,0)</f>
        <v>Ventral attention</v>
      </c>
      <c r="D240" t="s">
        <v>54</v>
      </c>
      <c r="E240" t="str">
        <f t="shared" si="9"/>
        <v>NO</v>
      </c>
      <c r="F240" t="str">
        <f t="shared" si="10"/>
        <v/>
      </c>
      <c r="G240" t="str">
        <f t="shared" si="11"/>
        <v/>
      </c>
    </row>
    <row r="241" spans="1:7" x14ac:dyDescent="0.2">
      <c r="A241">
        <v>240</v>
      </c>
      <c r="B241" s="27" t="s">
        <v>42</v>
      </c>
      <c r="C241" t="str">
        <f>VLOOKUP(A241,'264 ROIs'!A:AK,37,0)</f>
        <v>Ventral attention</v>
      </c>
      <c r="D241" t="s">
        <v>54</v>
      </c>
      <c r="E241" t="str">
        <f t="shared" si="9"/>
        <v>NO</v>
      </c>
      <c r="F241" t="str">
        <f t="shared" si="10"/>
        <v/>
      </c>
      <c r="G241" t="str">
        <f t="shared" si="11"/>
        <v/>
      </c>
    </row>
    <row r="242" spans="1:7" x14ac:dyDescent="0.2">
      <c r="A242">
        <v>241</v>
      </c>
      <c r="B242" s="27" t="s">
        <v>42</v>
      </c>
      <c r="C242" t="str">
        <f>VLOOKUP(A242,'264 ROIs'!A:AK,37,0)</f>
        <v>Ventral attention</v>
      </c>
      <c r="D242" t="s">
        <v>54</v>
      </c>
      <c r="E242" t="str">
        <f t="shared" si="9"/>
        <v>NO</v>
      </c>
      <c r="F242" t="str">
        <f t="shared" si="10"/>
        <v/>
      </c>
      <c r="G242" t="str">
        <f t="shared" si="11"/>
        <v/>
      </c>
    </row>
    <row r="243" spans="1:7" x14ac:dyDescent="0.2">
      <c r="A243">
        <v>242</v>
      </c>
      <c r="B243" s="27" t="s">
        <v>42</v>
      </c>
      <c r="C243" t="str">
        <f>VLOOKUP(A243,'264 ROIs'!A:AK,37,0)</f>
        <v>Ventral attention</v>
      </c>
      <c r="D243" t="s">
        <v>54</v>
      </c>
      <c r="E243" t="str">
        <f t="shared" si="9"/>
        <v>NO</v>
      </c>
      <c r="F243" t="str">
        <f t="shared" si="10"/>
        <v/>
      </c>
      <c r="G243" t="str">
        <f t="shared" si="11"/>
        <v/>
      </c>
    </row>
    <row r="244" spans="1:7" x14ac:dyDescent="0.2">
      <c r="A244">
        <v>243</v>
      </c>
      <c r="B244" s="26" t="s">
        <v>47</v>
      </c>
      <c r="C244" t="e">
        <f>VLOOKUP(A244,'264 ROIs'!A:AK,37,0)</f>
        <v>#N/A</v>
      </c>
      <c r="D244" t="e">
        <v>#N/A</v>
      </c>
      <c r="E244" t="e">
        <f t="shared" si="9"/>
        <v>#N/A</v>
      </c>
      <c r="F244" t="e">
        <f t="shared" si="10"/>
        <v>#N/A</v>
      </c>
      <c r="G244" t="e">
        <f t="shared" si="11"/>
        <v>#N/A</v>
      </c>
    </row>
    <row r="245" spans="1:7" x14ac:dyDescent="0.2">
      <c r="A245">
        <v>244</v>
      </c>
      <c r="B245" s="26" t="s">
        <v>47</v>
      </c>
      <c r="C245" t="e">
        <f>VLOOKUP(A245,'264 ROIs'!A:AK,37,0)</f>
        <v>#N/A</v>
      </c>
      <c r="D245" t="e">
        <v>#N/A</v>
      </c>
      <c r="E245" t="e">
        <f t="shared" si="9"/>
        <v>#N/A</v>
      </c>
      <c r="F245" t="e">
        <f t="shared" si="10"/>
        <v>#N/A</v>
      </c>
      <c r="G245" t="e">
        <f t="shared" si="11"/>
        <v>#N/A</v>
      </c>
    </row>
    <row r="246" spans="1:7" x14ac:dyDescent="0.2">
      <c r="A246">
        <v>245</v>
      </c>
      <c r="B246" s="26" t="s">
        <v>47</v>
      </c>
      <c r="C246" t="e">
        <f>VLOOKUP(A246,'264 ROIs'!A:AK,37,0)</f>
        <v>#N/A</v>
      </c>
      <c r="D246" t="e">
        <v>#N/A</v>
      </c>
      <c r="E246" t="e">
        <f t="shared" si="9"/>
        <v>#N/A</v>
      </c>
      <c r="F246" t="e">
        <f t="shared" si="10"/>
        <v>#N/A</v>
      </c>
      <c r="G246" t="e">
        <f t="shared" si="11"/>
        <v>#N/A</v>
      </c>
    </row>
    <row r="247" spans="1:7" x14ac:dyDescent="0.2">
      <c r="A247">
        <v>246</v>
      </c>
      <c r="B247" s="26" t="s">
        <v>47</v>
      </c>
      <c r="C247" t="e">
        <f>VLOOKUP(A247,'264 ROIs'!A:AK,37,0)</f>
        <v>#N/A</v>
      </c>
      <c r="D247" t="e">
        <v>#N/A</v>
      </c>
      <c r="E247" t="e">
        <f t="shared" si="9"/>
        <v>#N/A</v>
      </c>
      <c r="F247" t="e">
        <f t="shared" si="10"/>
        <v>#N/A</v>
      </c>
      <c r="G247" t="e">
        <f t="shared" si="11"/>
        <v>#N/A</v>
      </c>
    </row>
    <row r="248" spans="1:7" x14ac:dyDescent="0.2">
      <c r="A248">
        <v>247</v>
      </c>
      <c r="B248" s="26" t="s">
        <v>28</v>
      </c>
      <c r="C248" t="str">
        <f>VLOOKUP(A248,'264 ROIs'!A:AK,37,0)</f>
        <v>Uncertain</v>
      </c>
      <c r="D248" t="s">
        <v>28</v>
      </c>
      <c r="E248" t="str">
        <f t="shared" si="9"/>
        <v>NO</v>
      </c>
      <c r="F248" t="str">
        <f t="shared" si="10"/>
        <v/>
      </c>
      <c r="G248" t="str">
        <f t="shared" si="11"/>
        <v/>
      </c>
    </row>
    <row r="249" spans="1:7" x14ac:dyDescent="0.2">
      <c r="A249">
        <v>248</v>
      </c>
      <c r="B249" s="26" t="s">
        <v>28</v>
      </c>
      <c r="C249" t="str">
        <f>VLOOKUP(A249,'264 ROIs'!A:AK,37,0)</f>
        <v>Uncertain</v>
      </c>
      <c r="D249" t="s">
        <v>28</v>
      </c>
      <c r="E249" t="str">
        <f t="shared" si="9"/>
        <v>NO</v>
      </c>
      <c r="F249" t="str">
        <f t="shared" si="10"/>
        <v/>
      </c>
      <c r="G249" t="str">
        <f t="shared" si="11"/>
        <v/>
      </c>
    </row>
    <row r="250" spans="1:7" x14ac:dyDescent="0.2">
      <c r="A250">
        <v>249</v>
      </c>
      <c r="B250" s="26" t="s">
        <v>28</v>
      </c>
      <c r="C250" t="str">
        <f>VLOOKUP(A250,'264 ROIs'!A:AK,37,0)</f>
        <v>Uncertain</v>
      </c>
      <c r="D250" t="s">
        <v>28</v>
      </c>
      <c r="E250" t="str">
        <f t="shared" si="9"/>
        <v>NO</v>
      </c>
      <c r="F250" t="str">
        <f t="shared" si="10"/>
        <v/>
      </c>
      <c r="G250" t="str">
        <f t="shared" si="11"/>
        <v/>
      </c>
    </row>
    <row r="251" spans="1:7" x14ac:dyDescent="0.2">
      <c r="A251">
        <v>250</v>
      </c>
      <c r="B251" s="26" t="s">
        <v>28</v>
      </c>
      <c r="C251" t="str">
        <f>VLOOKUP(A251,'264 ROIs'!A:AK,37,0)</f>
        <v>Uncertain</v>
      </c>
      <c r="D251" t="s">
        <v>28</v>
      </c>
      <c r="E251" t="str">
        <f t="shared" si="9"/>
        <v>NO</v>
      </c>
      <c r="F251" t="str">
        <f t="shared" si="10"/>
        <v/>
      </c>
      <c r="G251" t="str">
        <f t="shared" si="11"/>
        <v/>
      </c>
    </row>
    <row r="252" spans="1:7" x14ac:dyDescent="0.2">
      <c r="A252">
        <v>251</v>
      </c>
      <c r="B252" s="27" t="s">
        <v>48</v>
      </c>
      <c r="C252" t="str">
        <f>VLOOKUP(A252,'264 ROIs'!A:AK,37,0)</f>
        <v>Dorsal attention</v>
      </c>
      <c r="D252" t="s">
        <v>56</v>
      </c>
      <c r="E252" t="str">
        <f t="shared" si="9"/>
        <v>NO</v>
      </c>
      <c r="F252" t="str">
        <f t="shared" si="10"/>
        <v/>
      </c>
      <c r="G252" t="str">
        <f t="shared" si="11"/>
        <v/>
      </c>
    </row>
    <row r="253" spans="1:7" x14ac:dyDescent="0.2">
      <c r="A253">
        <v>252</v>
      </c>
      <c r="B253" s="27" t="s">
        <v>48</v>
      </c>
      <c r="C253" t="str">
        <f>VLOOKUP(A253,'264 ROIs'!A:AK,37,0)</f>
        <v>Dorsal attention</v>
      </c>
      <c r="D253" t="s">
        <v>56</v>
      </c>
      <c r="E253" t="str">
        <f t="shared" si="9"/>
        <v>NO</v>
      </c>
      <c r="F253" t="str">
        <f t="shared" si="10"/>
        <v/>
      </c>
      <c r="G253" t="str">
        <f t="shared" si="11"/>
        <v/>
      </c>
    </row>
    <row r="254" spans="1:7" x14ac:dyDescent="0.2">
      <c r="A254">
        <v>253</v>
      </c>
      <c r="B254" s="26" t="s">
        <v>28</v>
      </c>
      <c r="C254" t="str">
        <f>VLOOKUP(A254,'264 ROIs'!A:AK,37,0)</f>
        <v>Uncertain</v>
      </c>
      <c r="D254" t="s">
        <v>28</v>
      </c>
      <c r="E254" t="str">
        <f t="shared" si="9"/>
        <v>NO</v>
      </c>
      <c r="F254" t="str">
        <f t="shared" si="10"/>
        <v/>
      </c>
      <c r="G254" t="str">
        <f t="shared" si="11"/>
        <v/>
      </c>
    </row>
    <row r="255" spans="1:7" x14ac:dyDescent="0.2">
      <c r="A255">
        <v>254</v>
      </c>
      <c r="B255" s="26" t="s">
        <v>28</v>
      </c>
      <c r="C255" t="str">
        <f>VLOOKUP(A255,'264 ROIs'!A:AK,37,0)</f>
        <v>Uncertain</v>
      </c>
      <c r="D255" t="s">
        <v>28</v>
      </c>
      <c r="E255" t="str">
        <f t="shared" si="9"/>
        <v>NO</v>
      </c>
      <c r="F255" t="str">
        <f t="shared" si="10"/>
        <v/>
      </c>
      <c r="G255" t="str">
        <f t="shared" si="11"/>
        <v/>
      </c>
    </row>
    <row r="256" spans="1:7" x14ac:dyDescent="0.2">
      <c r="A256">
        <v>255</v>
      </c>
      <c r="B256" s="27" t="s">
        <v>36</v>
      </c>
      <c r="C256" t="e">
        <f>VLOOKUP(A256,'264 ROIs'!A:AK,37,0)</f>
        <v>#N/A</v>
      </c>
      <c r="D256" t="e">
        <v>#N/A</v>
      </c>
      <c r="E256" t="e">
        <f t="shared" si="9"/>
        <v>#N/A</v>
      </c>
      <c r="F256" t="e">
        <f t="shared" si="10"/>
        <v>#N/A</v>
      </c>
      <c r="G256" t="e">
        <f t="shared" si="11"/>
        <v>#N/A</v>
      </c>
    </row>
    <row r="257" spans="1:7" x14ac:dyDescent="0.2">
      <c r="A257">
        <v>256</v>
      </c>
      <c r="B257" s="27" t="s">
        <v>48</v>
      </c>
      <c r="C257" t="str">
        <f>VLOOKUP(A257,'264 ROIs'!A:AK,37,0)</f>
        <v>Dorsal attention</v>
      </c>
      <c r="D257" t="s">
        <v>56</v>
      </c>
      <c r="E257" t="str">
        <f t="shared" si="9"/>
        <v>NO</v>
      </c>
      <c r="F257" t="str">
        <f t="shared" si="10"/>
        <v/>
      </c>
      <c r="G257" t="str">
        <f t="shared" si="11"/>
        <v/>
      </c>
    </row>
    <row r="258" spans="1:7" x14ac:dyDescent="0.2">
      <c r="A258">
        <v>257</v>
      </c>
      <c r="B258" s="27" t="s">
        <v>48</v>
      </c>
      <c r="C258" t="str">
        <f>VLOOKUP(A258,'264 ROIs'!A:AK,37,0)</f>
        <v>Dorsal attention</v>
      </c>
      <c r="D258" t="s">
        <v>56</v>
      </c>
      <c r="E258" t="str">
        <f t="shared" si="9"/>
        <v>NO</v>
      </c>
      <c r="F258" t="str">
        <f t="shared" si="10"/>
        <v/>
      </c>
      <c r="G258" t="str">
        <f t="shared" si="11"/>
        <v/>
      </c>
    </row>
    <row r="259" spans="1:7" x14ac:dyDescent="0.2">
      <c r="A259">
        <v>258</v>
      </c>
      <c r="B259" s="27" t="s">
        <v>48</v>
      </c>
      <c r="C259" t="str">
        <f>VLOOKUP(A259,'264 ROIs'!A:AK,37,0)</f>
        <v>Dorsal attention</v>
      </c>
      <c r="D259" t="s">
        <v>56</v>
      </c>
      <c r="E259" t="str">
        <f t="shared" ref="E259:E265" si="12">IF(D259="Default mode","YES",IF(D259="Fronto-parietal Task Control","YES",IF(D259="Subcortical","YES","NO")))</f>
        <v>NO</v>
      </c>
      <c r="F259" t="str">
        <f t="shared" ref="F259:F265" si="13">IF(E259="YES",B259,"")</f>
        <v/>
      </c>
      <c r="G259" t="str">
        <f t="shared" ref="G259:G265" si="14">IF(F259="","",F259&amp;"_"&amp;A259)</f>
        <v/>
      </c>
    </row>
    <row r="260" spans="1:7" x14ac:dyDescent="0.2">
      <c r="A260">
        <v>259</v>
      </c>
      <c r="B260" s="27" t="s">
        <v>48</v>
      </c>
      <c r="C260" t="str">
        <f>VLOOKUP(A260,'264 ROIs'!A:AK,37,0)</f>
        <v>Dorsal attention</v>
      </c>
      <c r="D260" t="s">
        <v>56</v>
      </c>
      <c r="E260" t="str">
        <f t="shared" si="12"/>
        <v>NO</v>
      </c>
      <c r="F260" t="str">
        <f t="shared" si="13"/>
        <v/>
      </c>
      <c r="G260" t="str">
        <f t="shared" si="14"/>
        <v/>
      </c>
    </row>
    <row r="261" spans="1:7" x14ac:dyDescent="0.2">
      <c r="A261">
        <v>260</v>
      </c>
      <c r="B261" s="27" t="s">
        <v>48</v>
      </c>
      <c r="C261" t="str">
        <f>VLOOKUP(A261,'264 ROIs'!A:AK,37,0)</f>
        <v>Dorsal attention</v>
      </c>
      <c r="D261" t="s">
        <v>56</v>
      </c>
      <c r="E261" t="str">
        <f t="shared" si="12"/>
        <v>NO</v>
      </c>
      <c r="F261" t="str">
        <f t="shared" si="13"/>
        <v/>
      </c>
      <c r="G261" t="str">
        <f t="shared" si="14"/>
        <v/>
      </c>
    </row>
    <row r="262" spans="1:7" x14ac:dyDescent="0.2">
      <c r="A262">
        <v>261</v>
      </c>
      <c r="B262" s="27" t="s">
        <v>48</v>
      </c>
      <c r="C262" t="str">
        <f>VLOOKUP(A262,'264 ROIs'!A:AK,37,0)</f>
        <v>Dorsal attention</v>
      </c>
      <c r="D262" t="s">
        <v>56</v>
      </c>
      <c r="E262" t="str">
        <f t="shared" si="12"/>
        <v>NO</v>
      </c>
      <c r="F262" t="str">
        <f t="shared" si="13"/>
        <v/>
      </c>
      <c r="G262" t="str">
        <f t="shared" si="14"/>
        <v/>
      </c>
    </row>
    <row r="263" spans="1:7" x14ac:dyDescent="0.2">
      <c r="A263">
        <v>262</v>
      </c>
      <c r="B263" s="27" t="s">
        <v>48</v>
      </c>
      <c r="C263" t="str">
        <f>VLOOKUP(A263,'264 ROIs'!A:AK,37,0)</f>
        <v>Dorsal attention</v>
      </c>
      <c r="D263" t="s">
        <v>56</v>
      </c>
      <c r="E263" t="str">
        <f t="shared" si="12"/>
        <v>NO</v>
      </c>
      <c r="F263" t="str">
        <f t="shared" si="13"/>
        <v/>
      </c>
      <c r="G263" t="str">
        <f t="shared" si="14"/>
        <v/>
      </c>
    </row>
    <row r="264" spans="1:7" x14ac:dyDescent="0.2">
      <c r="A264">
        <v>263</v>
      </c>
      <c r="B264" s="27" t="s">
        <v>48</v>
      </c>
      <c r="C264" t="str">
        <f>VLOOKUP(A264,'264 ROIs'!A:AK,37,0)</f>
        <v>Dorsal attention</v>
      </c>
      <c r="D264" t="s">
        <v>56</v>
      </c>
      <c r="E264" t="str">
        <f t="shared" si="12"/>
        <v>NO</v>
      </c>
      <c r="F264" t="str">
        <f t="shared" si="13"/>
        <v/>
      </c>
      <c r="G264" t="str">
        <f t="shared" si="14"/>
        <v/>
      </c>
    </row>
    <row r="265" spans="1:7" x14ac:dyDescent="0.2">
      <c r="A265">
        <v>264</v>
      </c>
      <c r="B265" s="27" t="s">
        <v>48</v>
      </c>
      <c r="C265" t="str">
        <f>VLOOKUP(A265,'264 ROIs'!A:AK,37,0)</f>
        <v>Dorsal attention</v>
      </c>
      <c r="D265" t="s">
        <v>56</v>
      </c>
      <c r="E265" t="str">
        <f t="shared" si="12"/>
        <v>NO</v>
      </c>
      <c r="F265" t="str">
        <f t="shared" si="13"/>
        <v/>
      </c>
      <c r="G265" t="str">
        <f t="shared" si="14"/>
        <v/>
      </c>
    </row>
    <row r="267" spans="1:7" x14ac:dyDescent="0.2">
      <c r="A267" s="26"/>
      <c r="C267" s="28" t="s">
        <v>59</v>
      </c>
      <c r="D267">
        <f>COUNTA(D2:D265)</f>
        <v>264</v>
      </c>
      <c r="E267" t="s">
        <v>62</v>
      </c>
    </row>
    <row r="268" spans="1:7" x14ac:dyDescent="0.2">
      <c r="C268" s="28" t="s">
        <v>58</v>
      </c>
      <c r="D268">
        <f>COUNTIF(D2:D265,"#N/A")</f>
        <v>83</v>
      </c>
      <c r="E268">
        <f>COUNTIF(E2:E265,"YES")</f>
        <v>96</v>
      </c>
    </row>
    <row r="269" spans="1:7" x14ac:dyDescent="0.2">
      <c r="C269" s="28" t="s">
        <v>60</v>
      </c>
      <c r="D269">
        <f>D267-D268</f>
        <v>181</v>
      </c>
      <c r="E269" t="s">
        <v>63</v>
      </c>
    </row>
    <row r="270" spans="1:7" x14ac:dyDescent="0.2">
      <c r="E270">
        <f>COUNTIF(E2:E265,"NO")</f>
        <v>85</v>
      </c>
    </row>
  </sheetData>
  <dataConsolid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6A5DF445824844B8BB297DC9BF64B75" ma:contentTypeVersion="16" ma:contentTypeDescription="Create a new document." ma:contentTypeScope="" ma:versionID="0cdce4fcf4d7171f49666ec843067830">
  <xsd:schema xmlns:xsd="http://www.w3.org/2001/XMLSchema" xmlns:xs="http://www.w3.org/2001/XMLSchema" xmlns:p="http://schemas.microsoft.com/office/2006/metadata/properties" xmlns:ns2="f12379f8-001f-4578-9d9f-d7bb59dbe5f2" xmlns:ns3="02f7dabf-9b8a-4e7a-bd25-159e30e385f4" targetNamespace="http://schemas.microsoft.com/office/2006/metadata/properties" ma:root="true" ma:fieldsID="5b2ba987846cf3c795852ce7b5cc13a7" ns2:_="" ns3:_="">
    <xsd:import namespace="f12379f8-001f-4578-9d9f-d7bb59dbe5f2"/>
    <xsd:import namespace="02f7dabf-9b8a-4e7a-bd25-159e30e385f4"/>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lcf76f155ced4ddcb4097134ff3c332f" minOccurs="0"/>
                <xsd:element ref="ns2:TaxCatchAll" minOccurs="0"/>
                <xsd:element ref="ns3:MediaLengthInSecond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12379f8-001f-4578-9d9f-d7bb59dbe5f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09171c85-1afb-4cb0-9b10-1b804af732a2}" ma:internalName="TaxCatchAll" ma:showField="CatchAllData" ma:web="f12379f8-001f-4578-9d9f-d7bb59dbe5f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2f7dabf-9b8a-4e7a-bd25-159e30e385f4"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28b28469-8996-4088-bd89-44d87d6385e5" ma:termSetId="09814cd3-568e-fe90-9814-8d621ff8fb84" ma:anchorId="fba54fb3-c3e1-fe81-a776-ca4b69148c4d" ma:open="true" ma:isKeyword="false">
      <xsd:complexType>
        <xsd:sequence>
          <xsd:element ref="pc:Terms" minOccurs="0" maxOccurs="1"/>
        </xsd:sequence>
      </xsd:complexType>
    </xsd:element>
    <xsd:element name="MediaLengthInSeconds" ma:index="22" nillable="true" ma:displayName="MediaLengthInSeconds" ma:hidden="true" ma:internalName="MediaLengthInSeconds" ma:readOnly="true">
      <xsd:simpleType>
        <xsd:restriction base="dms:Unknown"/>
      </xsd:simple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12379f8-001f-4578-9d9f-d7bb59dbe5f2" xsi:nil="true"/>
    <lcf76f155ced4ddcb4097134ff3c332f xmlns="02f7dabf-9b8a-4e7a-bd25-159e30e385f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491E965-A3FB-4831-819B-A7FD6FAFB2E9}"/>
</file>

<file path=customXml/itemProps2.xml><?xml version="1.0" encoding="utf-8"?>
<ds:datastoreItem xmlns:ds="http://schemas.openxmlformats.org/officeDocument/2006/customXml" ds:itemID="{335BC718-AC5A-430D-914E-A6C85961A310}"/>
</file>

<file path=customXml/itemProps3.xml><?xml version="1.0" encoding="utf-8"?>
<ds:datastoreItem xmlns:ds="http://schemas.openxmlformats.org/officeDocument/2006/customXml" ds:itemID="{E9EC7035-A811-4D36-A6DF-981AA9C47D6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264 ROIs</vt:lpstr>
      <vt:lpstr>Sheet1</vt:lpstr>
    </vt:vector>
  </TitlesOfParts>
  <Manager/>
  <Company>Washington University School of Medicine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Jonathan Power</dc:creator>
  <cp:keywords/>
  <dc:description/>
  <cp:lastModifiedBy>Meeks, Kathleen</cp:lastModifiedBy>
  <cp:revision/>
  <dcterms:created xsi:type="dcterms:W3CDTF">2012-03-27T21:13:04Z</dcterms:created>
  <dcterms:modified xsi:type="dcterms:W3CDTF">2023-02-03T19:07:57Z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0x01010066A5DF445824844B8BB297DC9BF64B75</vt:lpwstr>
  </property>
</Properties>
</file>