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66925"/>
  <mc:AlternateContent xmlns:mc="http://schemas.openxmlformats.org/markup-compatibility/2006">
    <mc:Choice Requires="x15">
      <x15ac:absPath xmlns:x15ac="http://schemas.microsoft.com/office/spreadsheetml/2010/11/ac" url="https://pennstateoffice365.sharepoint.com/sites/b-geierlab/Shared Documents/Box Migration Data/b-geierlab Shared/Anhedonia/Cleaning&amp;Analysis/"/>
    </mc:Choice>
  </mc:AlternateContent>
  <xr:revisionPtr revIDLastSave="146" documentId="11_B04380984F52F0D6F0C03287367AD5272A46A513" xr6:coauthVersionLast="47" xr6:coauthVersionMax="47" xr10:uidLastSave="{A0B4DE56-C475-4A44-8F2F-0E068484B6F9}"/>
  <bookViews>
    <workbookView xWindow="-96" yWindow="-96" windowWidth="23232" windowHeight="12552" xr2:uid="{00000000-000D-0000-FFFF-FFFF00000000}"/>
  </bookViews>
  <sheets>
    <sheet name="Sheet1" sheetId="1" r:id="rId1"/>
  </sheet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1" l="1"/>
  <c r="A49" i="1"/>
  <c r="G54" i="1"/>
  <c r="H49" i="1"/>
  <c r="H54" i="1"/>
  <c r="I49" i="1"/>
  <c r="I54" i="1"/>
  <c r="J49" i="1"/>
  <c r="J54" i="1"/>
  <c r="F49" i="1"/>
  <c r="F54" i="1"/>
  <c r="G51" i="1"/>
  <c r="G56" i="1"/>
  <c r="H51" i="1"/>
  <c r="H56" i="1"/>
  <c r="I51" i="1"/>
  <c r="I56" i="1"/>
  <c r="J51" i="1"/>
  <c r="J56" i="1"/>
  <c r="F51" i="1"/>
  <c r="F56" i="1"/>
  <c r="D53" i="1"/>
  <c r="C53" i="1"/>
  <c r="D52" i="1"/>
  <c r="C52" i="1"/>
  <c r="D50" i="1"/>
  <c r="C50" i="1"/>
  <c r="D49" i="1"/>
  <c r="C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2" authorId="0" shapeId="0" xr:uid="{CA257A8A-082C-4A34-85AA-EC2981C073D5}">
      <text>
        <r>
          <rPr>
            <b/>
            <sz val="9"/>
            <color indexed="81"/>
            <rFont val="Tahoma"/>
            <charset val="1"/>
          </rPr>
          <t xml:space="preserve">Administrator: </t>
        </r>
        <r>
          <rPr>
            <sz val="9"/>
            <color indexed="81"/>
            <rFont val="Tahoma"/>
            <family val="2"/>
          </rPr>
          <t>"Are you currently or ever been diagnosed with a psychiatric illness?"</t>
        </r>
        <r>
          <rPr>
            <sz val="9"/>
            <color indexed="81"/>
            <rFont val="Tahoma"/>
            <charset val="1"/>
          </rPr>
          <t xml:space="preserve">
</t>
        </r>
      </text>
    </comment>
    <comment ref="G2" authorId="0" shapeId="0" xr:uid="{3E90D765-79A6-4F4F-95C3-740CB2AE7C96}">
      <text>
        <r>
          <rPr>
            <b/>
            <sz val="9"/>
            <color indexed="81"/>
            <rFont val="Tahoma"/>
            <family val="2"/>
          </rPr>
          <t>Administrator:</t>
        </r>
        <r>
          <rPr>
            <sz val="9"/>
            <color indexed="81"/>
            <rFont val="Tahoma"/>
            <family val="2"/>
          </rPr>
          <t xml:space="preserve">
Have you ever been diagnosed with major depressive disorder/depression</t>
        </r>
      </text>
    </comment>
    <comment ref="H2" authorId="0" shapeId="0" xr:uid="{B34650AF-C495-4351-9CA6-49A89A83EE0C}">
      <text>
        <r>
          <rPr>
            <b/>
            <sz val="9"/>
            <color indexed="81"/>
            <rFont val="Tahoma"/>
            <family val="2"/>
          </rPr>
          <t>Administrator:</t>
        </r>
        <r>
          <rPr>
            <sz val="9"/>
            <color indexed="81"/>
            <rFont val="Tahoma"/>
            <family val="2"/>
          </rPr>
          <t xml:space="preserve">
Have you been feeling down or depressed, sad or hopeless in the last two weeks?</t>
        </r>
      </text>
    </comment>
    <comment ref="I2" authorId="0" shapeId="0" xr:uid="{09000EC9-6F53-4080-8DA4-03FF4C1DF4FA}">
      <text>
        <r>
          <rPr>
            <b/>
            <sz val="9"/>
            <color indexed="81"/>
            <rFont val="Tahoma"/>
            <family val="2"/>
          </rPr>
          <t>Administrator:</t>
        </r>
        <r>
          <rPr>
            <sz val="9"/>
            <color indexed="81"/>
            <rFont val="Tahoma"/>
            <family val="2"/>
          </rPr>
          <t xml:space="preserve">
Have you, in the last two weeks, lost interest or pleasure in thingsyou usually enjoy?</t>
        </r>
      </text>
    </comment>
    <comment ref="J2" authorId="0" shapeId="0" xr:uid="{55A3D6CC-84E7-48C7-9FD4-270FCE9DEBA0}">
      <text>
        <r>
          <rPr>
            <b/>
            <sz val="9"/>
            <color indexed="81"/>
            <rFont val="Tahoma"/>
            <family val="2"/>
          </rPr>
          <t>Administrator:</t>
        </r>
        <r>
          <rPr>
            <sz val="9"/>
            <color indexed="81"/>
            <rFont val="Tahoma"/>
            <family val="2"/>
          </rPr>
          <t xml:space="preserve">
Are you currently receiving medical treatment for depression?</t>
        </r>
      </text>
    </comment>
    <comment ref="K2" authorId="0" shapeId="0" xr:uid="{293CE11C-9FFF-48E4-BBF0-C8F5EDD18A82}">
      <text>
        <r>
          <rPr>
            <b/>
            <sz val="9"/>
            <color indexed="81"/>
            <rFont val="Tahoma"/>
            <family val="2"/>
          </rPr>
          <t>Administrator:</t>
        </r>
        <r>
          <rPr>
            <sz val="9"/>
            <color indexed="81"/>
            <rFont val="Tahoma"/>
            <family val="2"/>
          </rPr>
          <t xml:space="preserve">
"recurrent" box from MINI??
[a_mde]
A. Major Depressive episode
MDE: ([mini_major_depress])
MDE time frame: Current: ([mini_a5_cp(1)]); Past: ([mini_a5_cp(2)]),and Recurrent: ([mini_a5_cp(3)])
checkbox
1 a_mde___1 Current (Past 2 weeks)
2 a_mde___2 Past
3 a_mde___3 Recurrent</t>
        </r>
      </text>
    </comment>
    <comment ref="N2" authorId="0" shapeId="0" xr:uid="{55F0934F-18E9-4A65-9D73-08848EC4F1D0}">
      <text>
        <r>
          <rPr>
            <b/>
            <sz val="9"/>
            <color indexed="81"/>
            <rFont val="Tahoma"/>
            <family val="2"/>
          </rPr>
          <t>Administrator:</t>
        </r>
        <r>
          <rPr>
            <sz val="9"/>
            <color indexed="81"/>
            <rFont val="Tahoma"/>
            <family val="2"/>
          </rPr>
          <t xml:space="preserve">
"I am going to list out some other medications, let me know if you've tried any of the following and if they didn't work. (inquire about each failed dosage and marked medication) 
SSRIcheckbox:
0 ssri___0 Luvox
1 ssri___1 Paxil
2 ssri___2 Prozac
3 ssri___3 Zoloft
4 ssri___4 Celexa
5 ssri___5 Lexapro</t>
        </r>
      </text>
    </comment>
  </commentList>
</comments>
</file>

<file path=xl/sharedStrings.xml><?xml version="1.0" encoding="utf-8"?>
<sst xmlns="http://schemas.openxmlformats.org/spreadsheetml/2006/main" count="317" uniqueCount="33">
  <si>
    <t>Motion Parameters from XCP engine QC:</t>
  </si>
  <si>
    <t>Clinical Factors</t>
  </si>
  <si>
    <t>Graph Theory Metrics</t>
  </si>
  <si>
    <t>Subject ID</t>
  </si>
  <si>
    <t>type</t>
  </si>
  <si>
    <t>relMeanRMSMotion</t>
  </si>
  <si>
    <t>relMaxRMSMotion</t>
  </si>
  <si>
    <t>MADRS score</t>
  </si>
  <si>
    <t>psychiatric diagnoses</t>
  </si>
  <si>
    <t>depression</t>
  </si>
  <si>
    <t>feeling_down</t>
  </si>
  <si>
    <t>anhedonia</t>
  </si>
  <si>
    <t>depression_treatment</t>
  </si>
  <si>
    <t># of depressive episodes</t>
  </si>
  <si>
    <t>SHAPS total score</t>
  </si>
  <si>
    <t>ssri?</t>
  </si>
  <si>
    <t>closeness</t>
  </si>
  <si>
    <t>betweeness</t>
  </si>
  <si>
    <t>degree</t>
  </si>
  <si>
    <t>Kleinberg's hub score</t>
  </si>
  <si>
    <t>MDD</t>
  </si>
  <si>
    <t>no</t>
  </si>
  <si>
    <t>yes</t>
  </si>
  <si>
    <t>TRD</t>
  </si>
  <si>
    <t>HC</t>
  </si>
  <si>
    <t>#yes</t>
  </si>
  <si>
    <t>MEAN</t>
  </si>
  <si>
    <t>STDEV</t>
  </si>
  <si>
    <t>#no</t>
  </si>
  <si>
    <t>mean</t>
  </si>
  <si>
    <t>%yes</t>
  </si>
  <si>
    <t>%no</t>
  </si>
  <si>
    <t>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</si>
</sst>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00000"/>
      <name val="Calibri"/>
      <family val="2"/>
      <scheme val="minor"/>
    </font>
    <font>
      <sz val="11"/>
      <color theme="1"/>
      <name val="Calibri"/>
    </font>
    <font>
      <sz val="11"/>
      <color rgb="FF000000"/>
      <name val="Calibri"/>
    </font>
    <font>
      <sz val="11"/>
      <color rgb="FF000000"/>
      <name val="Calibri"/>
      <family val="2"/>
    </font>
    <font>
      <b/>
      <sz val="11"/>
      <color rgb="FF000000"/>
      <name val="Calibri"/>
      <family val="2"/>
    </font>
    <font>
      <b/>
      <sz val="9"/>
      <color indexed="81"/>
      <name val="Tahoma"/>
      <charset val="1"/>
    </font>
    <font>
      <sz val="9"/>
      <color indexed="81"/>
      <name val="Tahoma"/>
      <family val="2"/>
    </font>
    <font>
      <sz val="9"/>
      <color indexed="81"/>
      <name val="Tahoma"/>
      <charset val="1"/>
    </font>
    <font>
      <b/>
      <sz val="9"/>
      <color indexed="81"/>
      <name val="Tahoma"/>
      <family val="2"/>
    </font>
  </fonts>
  <fills count="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theme="9" tint="0.39997558519241921"/>
        <bgColor indexed="64"/>
      </patternFill>
    </fill>
  </fills>
  <borders count="10">
    <border>
      <left/>
      <right/>
      <top/>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indexed="64"/>
      </left>
      <right/>
      <top/>
      <bottom style="thin">
        <color rgb="FF000000"/>
      </bottom>
      <diagonal/>
    </border>
  </borders>
  <cellStyleXfs count="1">
    <xf numFmtId="0" fontId="0" fillId="0" borderId="0"/>
  </cellStyleXfs>
  <cellXfs count="23">
    <xf numFmtId="0" fontId="0" fillId="0" borderId="0" xfId="0"/>
    <xf numFmtId="0" fontId="0" fillId="2" borderId="0" xfId="0" applyFill="1"/>
    <xf numFmtId="0" fontId="1" fillId="3" borderId="0" xfId="0" applyFont="1" applyFill="1"/>
    <xf numFmtId="0" fontId="0" fillId="0" borderId="1" xfId="0" applyBorder="1"/>
    <xf numFmtId="0" fontId="0" fillId="0" borderId="2" xfId="0" applyBorder="1"/>
    <xf numFmtId="0" fontId="0" fillId="0" borderId="3" xfId="0" applyBorder="1"/>
    <xf numFmtId="0" fontId="0" fillId="2" borderId="2" xfId="0" applyFill="1" applyBorder="1"/>
    <xf numFmtId="0" fontId="1" fillId="3" borderId="2" xfId="0" applyFont="1" applyFill="1" applyBorder="1"/>
    <xf numFmtId="0" fontId="3" fillId="0" borderId="4" xfId="0" applyFont="1" applyBorder="1" applyAlignment="1">
      <alignment wrapText="1"/>
    </xf>
    <xf numFmtId="0" fontId="2" fillId="0" borderId="4" xfId="0" applyFont="1" applyBorder="1"/>
    <xf numFmtId="0" fontId="4" fillId="0" borderId="0" xfId="0" applyFont="1"/>
    <xf numFmtId="0" fontId="4" fillId="2" borderId="0" xfId="0" applyFont="1" applyFill="1"/>
    <xf numFmtId="0" fontId="4" fillId="0" borderId="5" xfId="0" applyFont="1" applyBorder="1"/>
    <xf numFmtId="0" fontId="5" fillId="0" borderId="5" xfId="0" applyFont="1" applyBorder="1"/>
    <xf numFmtId="0" fontId="0" fillId="4" borderId="1" xfId="0" applyFill="1" applyBorder="1"/>
    <xf numFmtId="0" fontId="3" fillId="0" borderId="7" xfId="0" applyFont="1" applyBorder="1" applyAlignment="1">
      <alignment wrapText="1"/>
    </xf>
    <xf numFmtId="0" fontId="2" fillId="0" borderId="7" xfId="0" applyFont="1" applyBorder="1"/>
    <xf numFmtId="0" fontId="0" fillId="0" borderId="6" xfId="0" applyBorder="1"/>
    <xf numFmtId="0" fontId="0" fillId="0" borderId="8" xfId="0" applyBorder="1"/>
    <xf numFmtId="0" fontId="0" fillId="2" borderId="6" xfId="0" applyFill="1" applyBorder="1"/>
    <xf numFmtId="0" fontId="1" fillId="3" borderId="6" xfId="0" applyFont="1" applyFill="1" applyBorder="1"/>
    <xf numFmtId="0" fontId="0" fillId="0" borderId="9" xfId="0" applyBorder="1"/>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6"/>
  <sheetViews>
    <sheetView tabSelected="1" workbookViewId="0">
      <selection activeCell="P11" sqref="P11"/>
    </sheetView>
  </sheetViews>
  <sheetFormatPr defaultRowHeight="14.4" x14ac:dyDescent="0.55000000000000004"/>
  <cols>
    <col min="1" max="1" width="9.83984375" bestFit="1" customWidth="1"/>
    <col min="2" max="2" width="6.68359375" style="4" bestFit="1" customWidth="1"/>
    <col min="3" max="3" width="19.15625" style="4" bestFit="1" customWidth="1"/>
    <col min="4" max="4" width="17.83984375" bestFit="1" customWidth="1"/>
    <col min="5" max="5" width="22.83984375" style="17" bestFit="1" customWidth="1"/>
    <col min="6" max="6" width="18" hidden="1" customWidth="1"/>
    <col min="7" max="7" width="21" hidden="1" customWidth="1"/>
    <col min="8" max="8" width="18.26171875" hidden="1" customWidth="1"/>
    <col min="9" max="10" width="16" hidden="1" customWidth="1"/>
    <col min="11" max="11" width="23.26171875" hidden="1" customWidth="1"/>
    <col min="12" max="13" width="16" customWidth="1"/>
    <col min="14" max="14" width="16" hidden="1" customWidth="1"/>
    <col min="15" max="15" width="10.41796875" style="17" customWidth="1"/>
    <col min="16" max="16" width="11.83984375" bestFit="1" customWidth="1"/>
    <col min="17" max="17" width="7.68359375" customWidth="1"/>
    <col min="18" max="18" width="20.15625" bestFit="1" customWidth="1"/>
  </cols>
  <sheetData>
    <row r="1" spans="1:18" x14ac:dyDescent="0.55000000000000004">
      <c r="C1" s="22" t="s">
        <v>0</v>
      </c>
      <c r="D1" s="22"/>
      <c r="E1" s="17" t="s">
        <v>1</v>
      </c>
      <c r="O1" s="17" t="s">
        <v>2</v>
      </c>
    </row>
    <row r="2" spans="1:18" s="3" customFormat="1" x14ac:dyDescent="0.55000000000000004">
      <c r="A2" s="3" t="s">
        <v>3</v>
      </c>
      <c r="B2" s="5" t="s">
        <v>4</v>
      </c>
      <c r="C2" s="4" t="s">
        <v>5</v>
      </c>
      <c r="D2" s="4" t="s">
        <v>6</v>
      </c>
      <c r="E2" s="18" t="s">
        <v>7</v>
      </c>
      <c r="F2" s="12" t="s">
        <v>8</v>
      </c>
      <c r="G2" s="12" t="s">
        <v>9</v>
      </c>
      <c r="H2" s="13" t="s">
        <v>10</v>
      </c>
      <c r="I2" s="12" t="s">
        <v>11</v>
      </c>
      <c r="J2" s="13" t="s">
        <v>12</v>
      </c>
      <c r="K2" s="3" t="s">
        <v>13</v>
      </c>
      <c r="L2" s="3" t="s">
        <v>14</v>
      </c>
      <c r="M2" s="3" t="s">
        <v>32</v>
      </c>
      <c r="N2" s="14" t="s">
        <v>15</v>
      </c>
      <c r="O2" s="21" t="s">
        <v>16</v>
      </c>
      <c r="P2" s="3" t="s">
        <v>17</v>
      </c>
      <c r="Q2" s="3" t="s">
        <v>18</v>
      </c>
      <c r="R2" s="3" t="s">
        <v>19</v>
      </c>
    </row>
    <row r="3" spans="1:18" x14ac:dyDescent="0.55000000000000004">
      <c r="A3">
        <v>801</v>
      </c>
      <c r="B3" s="4" t="s">
        <v>20</v>
      </c>
      <c r="C3" s="8">
        <v>0.144621</v>
      </c>
      <c r="D3" s="15">
        <v>1.051525</v>
      </c>
      <c r="E3" s="17">
        <v>15</v>
      </c>
      <c r="F3" s="10" t="s">
        <v>21</v>
      </c>
      <c r="G3" s="10" t="s">
        <v>21</v>
      </c>
      <c r="H3" s="10" t="s">
        <v>22</v>
      </c>
      <c r="I3" s="10" t="s">
        <v>22</v>
      </c>
      <c r="J3" s="10" t="s">
        <v>21</v>
      </c>
    </row>
    <row r="4" spans="1:18" x14ac:dyDescent="0.55000000000000004">
      <c r="A4">
        <v>814</v>
      </c>
      <c r="B4" s="4" t="s">
        <v>20</v>
      </c>
      <c r="C4" s="8">
        <v>0.28454400000000002</v>
      </c>
      <c r="D4" s="15">
        <v>1.1166579999999999</v>
      </c>
      <c r="E4" s="17">
        <v>22</v>
      </c>
      <c r="F4" s="10" t="s">
        <v>21</v>
      </c>
      <c r="G4" s="10" t="s">
        <v>22</v>
      </c>
      <c r="H4" s="10" t="s">
        <v>22</v>
      </c>
      <c r="I4" s="10" t="s">
        <v>22</v>
      </c>
      <c r="J4" s="10" t="s">
        <v>22</v>
      </c>
    </row>
    <row r="5" spans="1:18" x14ac:dyDescent="0.55000000000000004">
      <c r="A5">
        <v>815</v>
      </c>
      <c r="B5" s="4" t="s">
        <v>20</v>
      </c>
      <c r="C5" s="8">
        <v>0.18037900000000001</v>
      </c>
      <c r="D5" s="15">
        <v>0.69195399999999996</v>
      </c>
      <c r="E5" s="17">
        <v>27</v>
      </c>
      <c r="F5" s="10" t="s">
        <v>22</v>
      </c>
      <c r="G5" s="10" t="s">
        <v>22</v>
      </c>
      <c r="H5" s="10" t="s">
        <v>22</v>
      </c>
      <c r="I5" s="10" t="s">
        <v>22</v>
      </c>
      <c r="J5" s="10" t="s">
        <v>22</v>
      </c>
    </row>
    <row r="6" spans="1:18" x14ac:dyDescent="0.55000000000000004">
      <c r="A6">
        <v>821</v>
      </c>
      <c r="B6" s="4" t="s">
        <v>23</v>
      </c>
      <c r="C6" s="8">
        <v>9.3457999999999999E-2</v>
      </c>
      <c r="D6" s="15">
        <v>0.65911600000000004</v>
      </c>
      <c r="E6" s="17">
        <v>15</v>
      </c>
      <c r="F6" s="10" t="s">
        <v>22</v>
      </c>
      <c r="G6" s="10" t="s">
        <v>22</v>
      </c>
      <c r="H6" s="10" t="s">
        <v>22</v>
      </c>
      <c r="I6" s="10" t="s">
        <v>22</v>
      </c>
      <c r="J6" s="10" t="s">
        <v>21</v>
      </c>
    </row>
    <row r="7" spans="1:18" x14ac:dyDescent="0.55000000000000004">
      <c r="A7">
        <v>822</v>
      </c>
      <c r="B7" s="4" t="s">
        <v>24</v>
      </c>
      <c r="C7" s="8">
        <v>8.4567000000000003E-2</v>
      </c>
      <c r="D7" s="15">
        <v>0.61739999999999995</v>
      </c>
      <c r="E7" s="17">
        <v>0</v>
      </c>
      <c r="F7" s="10" t="s">
        <v>21</v>
      </c>
      <c r="G7" s="10" t="s">
        <v>21</v>
      </c>
      <c r="H7" s="10" t="s">
        <v>21</v>
      </c>
      <c r="I7" s="10" t="s">
        <v>21</v>
      </c>
      <c r="J7" s="10" t="s">
        <v>21</v>
      </c>
    </row>
    <row r="8" spans="1:18" x14ac:dyDescent="0.55000000000000004">
      <c r="A8">
        <v>823</v>
      </c>
      <c r="B8" s="4" t="s">
        <v>23</v>
      </c>
      <c r="C8" s="8">
        <v>0.17948900000000001</v>
      </c>
      <c r="D8" s="15">
        <v>0.38981300000000002</v>
      </c>
      <c r="E8" s="17">
        <v>17</v>
      </c>
      <c r="F8" s="10" t="s">
        <v>22</v>
      </c>
      <c r="G8" s="10" t="s">
        <v>22</v>
      </c>
      <c r="H8" s="10" t="s">
        <v>22</v>
      </c>
      <c r="I8" s="10" t="s">
        <v>22</v>
      </c>
      <c r="J8" s="10" t="s">
        <v>22</v>
      </c>
    </row>
    <row r="9" spans="1:18" x14ac:dyDescent="0.55000000000000004">
      <c r="A9" s="1">
        <v>825</v>
      </c>
      <c r="B9" s="6" t="s">
        <v>23</v>
      </c>
      <c r="C9" s="8">
        <v>0.26189099999999998</v>
      </c>
      <c r="D9" s="15">
        <v>0.65925299999999998</v>
      </c>
      <c r="E9" s="19">
        <v>24</v>
      </c>
      <c r="F9" s="11" t="s">
        <v>22</v>
      </c>
      <c r="G9" s="11" t="s">
        <v>22</v>
      </c>
      <c r="H9" s="11" t="s">
        <v>22</v>
      </c>
      <c r="I9" s="11" t="s">
        <v>22</v>
      </c>
      <c r="J9" s="11" t="s">
        <v>22</v>
      </c>
    </row>
    <row r="10" spans="1:18" x14ac:dyDescent="0.55000000000000004">
      <c r="A10">
        <v>829</v>
      </c>
      <c r="B10" s="4" t="s">
        <v>24</v>
      </c>
      <c r="C10" s="8">
        <v>0.26822000000000001</v>
      </c>
      <c r="D10" s="15">
        <v>1.7277370000000001</v>
      </c>
      <c r="E10" s="17">
        <v>0</v>
      </c>
      <c r="F10" s="10" t="s">
        <v>21</v>
      </c>
      <c r="G10" s="10" t="s">
        <v>21</v>
      </c>
      <c r="H10" s="10" t="s">
        <v>21</v>
      </c>
      <c r="I10" s="10" t="s">
        <v>21</v>
      </c>
      <c r="J10" s="10" t="s">
        <v>21</v>
      </c>
    </row>
    <row r="11" spans="1:18" x14ac:dyDescent="0.55000000000000004">
      <c r="A11">
        <v>831</v>
      </c>
      <c r="B11" s="4" t="s">
        <v>23</v>
      </c>
      <c r="C11" s="8">
        <v>0.119731</v>
      </c>
      <c r="D11" s="15">
        <v>0.68411299999999997</v>
      </c>
      <c r="E11" s="17">
        <v>22</v>
      </c>
      <c r="F11" s="10" t="s">
        <v>22</v>
      </c>
      <c r="G11" s="10" t="s">
        <v>22</v>
      </c>
      <c r="H11" s="10" t="s">
        <v>22</v>
      </c>
      <c r="I11" s="10" t="s">
        <v>22</v>
      </c>
      <c r="J11" s="10" t="s">
        <v>22</v>
      </c>
    </row>
    <row r="12" spans="1:18" x14ac:dyDescent="0.55000000000000004">
      <c r="A12">
        <v>833</v>
      </c>
      <c r="B12" s="4" t="s">
        <v>24</v>
      </c>
      <c r="C12" s="8">
        <v>9.5763000000000001E-2</v>
      </c>
      <c r="D12" s="15">
        <v>0.459393</v>
      </c>
      <c r="E12" s="17">
        <v>0</v>
      </c>
      <c r="F12" s="10" t="s">
        <v>21</v>
      </c>
      <c r="G12" s="10" t="s">
        <v>21</v>
      </c>
      <c r="H12" s="10" t="s">
        <v>21</v>
      </c>
      <c r="I12" s="10" t="s">
        <v>21</v>
      </c>
      <c r="J12" s="10" t="s">
        <v>21</v>
      </c>
    </row>
    <row r="13" spans="1:18" x14ac:dyDescent="0.55000000000000004">
      <c r="A13">
        <v>834</v>
      </c>
      <c r="B13" s="4" t="s">
        <v>23</v>
      </c>
      <c r="C13" s="8">
        <v>7.6672000000000004E-2</v>
      </c>
      <c r="D13" s="15">
        <v>0.34032099999999998</v>
      </c>
      <c r="E13" s="17">
        <v>30</v>
      </c>
      <c r="F13" s="10" t="s">
        <v>22</v>
      </c>
      <c r="G13" s="10" t="s">
        <v>22</v>
      </c>
      <c r="H13" s="10" t="s">
        <v>22</v>
      </c>
      <c r="I13" s="10" t="s">
        <v>22</v>
      </c>
      <c r="J13" s="10" t="s">
        <v>22</v>
      </c>
    </row>
    <row r="14" spans="1:18" x14ac:dyDescent="0.55000000000000004">
      <c r="A14">
        <v>837</v>
      </c>
      <c r="B14" s="4" t="s">
        <v>24</v>
      </c>
      <c r="C14" s="8">
        <v>0.110888</v>
      </c>
      <c r="D14" s="15">
        <v>0.71555400000000002</v>
      </c>
      <c r="E14" s="17">
        <v>0</v>
      </c>
      <c r="F14" s="10" t="s">
        <v>21</v>
      </c>
      <c r="G14" s="10" t="s">
        <v>21</v>
      </c>
      <c r="H14" s="10" t="s">
        <v>21</v>
      </c>
      <c r="I14" s="10" t="s">
        <v>21</v>
      </c>
      <c r="J14" s="10" t="s">
        <v>21</v>
      </c>
    </row>
    <row r="15" spans="1:18" x14ac:dyDescent="0.55000000000000004">
      <c r="A15">
        <v>845</v>
      </c>
      <c r="B15" s="4" t="s">
        <v>24</v>
      </c>
      <c r="C15" s="8">
        <v>0.22664400000000001</v>
      </c>
      <c r="D15" s="15">
        <v>1.081434</v>
      </c>
      <c r="E15" s="17">
        <v>2</v>
      </c>
      <c r="F15" s="10" t="s">
        <v>21</v>
      </c>
      <c r="G15" s="10" t="s">
        <v>21</v>
      </c>
      <c r="H15" s="10" t="s">
        <v>21</v>
      </c>
      <c r="I15" s="10" t="s">
        <v>21</v>
      </c>
      <c r="J15" s="10" t="s">
        <v>21</v>
      </c>
    </row>
    <row r="16" spans="1:18" x14ac:dyDescent="0.55000000000000004">
      <c r="A16">
        <v>848</v>
      </c>
      <c r="B16" s="4" t="s">
        <v>23</v>
      </c>
      <c r="C16" s="8">
        <v>0.23744100000000001</v>
      </c>
      <c r="D16" s="15">
        <v>0.50683500000000004</v>
      </c>
      <c r="E16" s="17">
        <v>26</v>
      </c>
      <c r="F16" s="10" t="s">
        <v>22</v>
      </c>
      <c r="G16" s="10" t="s">
        <v>22</v>
      </c>
      <c r="H16" s="10" t="s">
        <v>22</v>
      </c>
      <c r="I16" s="10" t="s">
        <v>22</v>
      </c>
      <c r="J16" s="10" t="s">
        <v>22</v>
      </c>
    </row>
    <row r="17" spans="1:10" x14ac:dyDescent="0.55000000000000004">
      <c r="A17">
        <v>849</v>
      </c>
      <c r="B17" s="4" t="s">
        <v>23</v>
      </c>
      <c r="C17" s="8">
        <v>5.6493000000000002E-2</v>
      </c>
      <c r="D17" s="15">
        <v>0.31700200000000001</v>
      </c>
      <c r="E17" s="17">
        <v>30</v>
      </c>
      <c r="F17" s="10" t="s">
        <v>22</v>
      </c>
      <c r="G17" s="10" t="s">
        <v>22</v>
      </c>
      <c r="H17" s="10" t="s">
        <v>22</v>
      </c>
      <c r="I17" s="10" t="s">
        <v>22</v>
      </c>
      <c r="J17" s="10" t="s">
        <v>22</v>
      </c>
    </row>
    <row r="18" spans="1:10" x14ac:dyDescent="0.55000000000000004">
      <c r="A18">
        <v>855</v>
      </c>
      <c r="B18" s="4" t="s">
        <v>24</v>
      </c>
      <c r="C18" s="8">
        <v>0.27484799999999998</v>
      </c>
      <c r="D18" s="15">
        <v>1.2602549999999999</v>
      </c>
      <c r="E18" s="17">
        <v>3</v>
      </c>
      <c r="F18" s="10" t="s">
        <v>21</v>
      </c>
      <c r="G18" s="10" t="s">
        <v>21</v>
      </c>
      <c r="H18" s="10" t="s">
        <v>21</v>
      </c>
      <c r="I18" s="10" t="s">
        <v>21</v>
      </c>
      <c r="J18" s="10" t="s">
        <v>21</v>
      </c>
    </row>
    <row r="19" spans="1:10" x14ac:dyDescent="0.55000000000000004">
      <c r="A19">
        <v>857</v>
      </c>
      <c r="B19" s="4" t="s">
        <v>23</v>
      </c>
      <c r="C19" s="8">
        <v>0.21937000000000001</v>
      </c>
      <c r="D19" s="15">
        <v>0.64447900000000002</v>
      </c>
      <c r="E19" s="17">
        <v>17</v>
      </c>
      <c r="F19" s="10" t="s">
        <v>21</v>
      </c>
      <c r="G19" s="10" t="s">
        <v>21</v>
      </c>
      <c r="H19" s="10" t="s">
        <v>22</v>
      </c>
      <c r="I19" s="10" t="s">
        <v>22</v>
      </c>
      <c r="J19" s="10" t="s">
        <v>22</v>
      </c>
    </row>
    <row r="20" spans="1:10" x14ac:dyDescent="0.55000000000000004">
      <c r="A20">
        <v>858</v>
      </c>
      <c r="B20" s="4" t="s">
        <v>23</v>
      </c>
      <c r="C20" s="8">
        <v>0.27484799999999998</v>
      </c>
      <c r="D20" s="15">
        <v>1.2602549999999999</v>
      </c>
      <c r="E20" s="17">
        <v>23</v>
      </c>
      <c r="F20" s="10" t="s">
        <v>22</v>
      </c>
      <c r="G20" s="10" t="s">
        <v>22</v>
      </c>
      <c r="H20" s="10" t="s">
        <v>22</v>
      </c>
      <c r="I20" s="10" t="s">
        <v>22</v>
      </c>
      <c r="J20" s="10" t="s">
        <v>22</v>
      </c>
    </row>
    <row r="21" spans="1:10" x14ac:dyDescent="0.55000000000000004">
      <c r="A21">
        <v>859</v>
      </c>
      <c r="B21" s="4" t="s">
        <v>24</v>
      </c>
      <c r="C21" s="8">
        <v>7.7620999999999996E-2</v>
      </c>
      <c r="D21" s="15">
        <v>0.41135100000000002</v>
      </c>
      <c r="E21" s="17">
        <v>0</v>
      </c>
      <c r="F21" s="10" t="s">
        <v>21</v>
      </c>
      <c r="G21" s="10" t="s">
        <v>21</v>
      </c>
      <c r="H21" s="10" t="s">
        <v>21</v>
      </c>
      <c r="I21" s="10" t="s">
        <v>21</v>
      </c>
      <c r="J21" s="10" t="s">
        <v>21</v>
      </c>
    </row>
    <row r="22" spans="1:10" x14ac:dyDescent="0.55000000000000004">
      <c r="A22">
        <v>860</v>
      </c>
      <c r="B22" s="4" t="s">
        <v>23</v>
      </c>
      <c r="C22" s="8">
        <v>0.27484799999999998</v>
      </c>
      <c r="D22" s="15">
        <v>1.2602549999999999</v>
      </c>
      <c r="E22" s="17">
        <v>28</v>
      </c>
      <c r="F22" s="10" t="s">
        <v>22</v>
      </c>
      <c r="G22" s="10" t="s">
        <v>22</v>
      </c>
      <c r="H22" s="10" t="s">
        <v>22</v>
      </c>
      <c r="I22" s="10" t="s">
        <v>22</v>
      </c>
      <c r="J22" s="10" t="s">
        <v>22</v>
      </c>
    </row>
    <row r="23" spans="1:10" x14ac:dyDescent="0.55000000000000004">
      <c r="A23">
        <v>864</v>
      </c>
      <c r="B23" s="4" t="s">
        <v>24</v>
      </c>
      <c r="C23" s="8">
        <v>0.115324</v>
      </c>
      <c r="D23" s="15">
        <v>0.238621</v>
      </c>
      <c r="E23" s="17">
        <v>0</v>
      </c>
      <c r="F23" s="10" t="s">
        <v>21</v>
      </c>
      <c r="G23" s="10" t="s">
        <v>21</v>
      </c>
      <c r="H23" s="10" t="s">
        <v>21</v>
      </c>
      <c r="I23" s="10" t="s">
        <v>21</v>
      </c>
      <c r="J23" s="10" t="s">
        <v>21</v>
      </c>
    </row>
    <row r="24" spans="1:10" x14ac:dyDescent="0.55000000000000004">
      <c r="A24">
        <v>867</v>
      </c>
      <c r="B24" s="4" t="s">
        <v>24</v>
      </c>
      <c r="C24" s="8">
        <v>9.0104000000000004E-2</v>
      </c>
      <c r="D24" s="15">
        <v>0.83613499999999996</v>
      </c>
      <c r="E24" s="17">
        <v>0</v>
      </c>
      <c r="F24" s="10" t="s">
        <v>21</v>
      </c>
      <c r="G24" s="10" t="s">
        <v>21</v>
      </c>
      <c r="H24" s="10" t="s">
        <v>21</v>
      </c>
      <c r="I24" s="10" t="s">
        <v>21</v>
      </c>
      <c r="J24" s="10" t="s">
        <v>21</v>
      </c>
    </row>
    <row r="25" spans="1:10" x14ac:dyDescent="0.55000000000000004">
      <c r="A25">
        <v>868</v>
      </c>
      <c r="B25" s="4" t="s">
        <v>24</v>
      </c>
      <c r="C25" s="9">
        <v>0.27484799999999998</v>
      </c>
      <c r="D25" s="16">
        <v>1.2602549999999999</v>
      </c>
      <c r="E25" s="17">
        <v>1</v>
      </c>
      <c r="F25" s="10" t="s">
        <v>21</v>
      </c>
      <c r="G25" s="10" t="s">
        <v>21</v>
      </c>
      <c r="H25" s="10" t="s">
        <v>21</v>
      </c>
      <c r="I25" s="10" t="s">
        <v>21</v>
      </c>
      <c r="J25" s="10" t="s">
        <v>21</v>
      </c>
    </row>
    <row r="26" spans="1:10" x14ac:dyDescent="0.55000000000000004">
      <c r="A26">
        <v>878</v>
      </c>
      <c r="B26" s="4" t="s">
        <v>23</v>
      </c>
      <c r="C26" s="8">
        <v>0.22361500000000001</v>
      </c>
      <c r="D26" s="15">
        <v>0.67953799999999998</v>
      </c>
      <c r="E26" s="17">
        <v>10</v>
      </c>
      <c r="F26" s="10" t="s">
        <v>21</v>
      </c>
      <c r="G26" s="10" t="s">
        <v>22</v>
      </c>
      <c r="H26" s="10" t="s">
        <v>22</v>
      </c>
      <c r="I26" s="10" t="s">
        <v>21</v>
      </c>
      <c r="J26" s="10" t="s">
        <v>22</v>
      </c>
    </row>
    <row r="27" spans="1:10" x14ac:dyDescent="0.55000000000000004">
      <c r="A27">
        <v>879</v>
      </c>
      <c r="B27" s="4" t="s">
        <v>23</v>
      </c>
      <c r="C27" s="8">
        <v>0.13429199999999999</v>
      </c>
      <c r="D27" s="15">
        <v>0.29713400000000001</v>
      </c>
      <c r="E27" s="17">
        <v>20</v>
      </c>
      <c r="F27" s="10" t="s">
        <v>22</v>
      </c>
      <c r="G27" s="10" t="s">
        <v>22</v>
      </c>
      <c r="H27" s="10" t="s">
        <v>22</v>
      </c>
      <c r="I27" s="10" t="s">
        <v>22</v>
      </c>
      <c r="J27" s="10" t="s">
        <v>22</v>
      </c>
    </row>
    <row r="28" spans="1:10" x14ac:dyDescent="0.55000000000000004">
      <c r="A28">
        <v>882</v>
      </c>
      <c r="B28" s="4" t="s">
        <v>24</v>
      </c>
      <c r="C28" s="8">
        <v>0.162412</v>
      </c>
      <c r="D28" s="15">
        <v>0.45156000000000002</v>
      </c>
      <c r="E28" s="17">
        <v>0</v>
      </c>
      <c r="F28" s="10" t="s">
        <v>21</v>
      </c>
      <c r="G28" s="10" t="s">
        <v>21</v>
      </c>
      <c r="H28" s="10" t="s">
        <v>21</v>
      </c>
      <c r="I28" s="10" t="s">
        <v>21</v>
      </c>
      <c r="J28" s="10" t="s">
        <v>21</v>
      </c>
    </row>
    <row r="29" spans="1:10" x14ac:dyDescent="0.55000000000000004">
      <c r="A29">
        <v>883</v>
      </c>
      <c r="B29" s="4" t="s">
        <v>24</v>
      </c>
      <c r="C29" s="8">
        <v>0.13930100000000001</v>
      </c>
      <c r="D29" s="15">
        <v>0.436531</v>
      </c>
      <c r="E29" s="17">
        <v>0</v>
      </c>
      <c r="F29" s="10" t="s">
        <v>21</v>
      </c>
      <c r="G29" s="10" t="s">
        <v>21</v>
      </c>
      <c r="H29" s="10" t="s">
        <v>21</v>
      </c>
      <c r="I29" s="10" t="s">
        <v>21</v>
      </c>
      <c r="J29" s="10" t="s">
        <v>21</v>
      </c>
    </row>
    <row r="30" spans="1:10" x14ac:dyDescent="0.55000000000000004">
      <c r="A30">
        <v>884</v>
      </c>
      <c r="B30" s="4" t="s">
        <v>23</v>
      </c>
      <c r="C30" s="8">
        <v>0.10457900000000001</v>
      </c>
      <c r="D30" s="15">
        <v>0.81499299999999997</v>
      </c>
      <c r="E30" s="17">
        <v>25</v>
      </c>
      <c r="F30" s="10" t="s">
        <v>22</v>
      </c>
      <c r="G30" s="10" t="s">
        <v>22</v>
      </c>
      <c r="H30" s="10" t="s">
        <v>22</v>
      </c>
      <c r="I30" s="10" t="s">
        <v>22</v>
      </c>
      <c r="J30" s="10" t="s">
        <v>22</v>
      </c>
    </row>
    <row r="31" spans="1:10" x14ac:dyDescent="0.55000000000000004">
      <c r="A31">
        <v>890</v>
      </c>
      <c r="B31" s="4" t="s">
        <v>24</v>
      </c>
      <c r="C31" s="8">
        <v>0.12049799999999999</v>
      </c>
      <c r="D31" s="15">
        <v>0.41639900000000002</v>
      </c>
      <c r="E31" s="17">
        <v>0</v>
      </c>
      <c r="F31" s="10" t="s">
        <v>21</v>
      </c>
      <c r="G31" s="10" t="s">
        <v>21</v>
      </c>
      <c r="H31" s="10" t="s">
        <v>21</v>
      </c>
      <c r="I31" s="10" t="s">
        <v>21</v>
      </c>
      <c r="J31" s="10" t="s">
        <v>21</v>
      </c>
    </row>
    <row r="32" spans="1:10" x14ac:dyDescent="0.55000000000000004">
      <c r="A32">
        <v>893</v>
      </c>
      <c r="B32" s="4" t="s">
        <v>20</v>
      </c>
      <c r="C32" s="8">
        <v>0.15617700000000001</v>
      </c>
      <c r="D32" s="15">
        <v>1.9707129999999999</v>
      </c>
      <c r="E32" s="17">
        <v>27</v>
      </c>
      <c r="F32" s="10" t="s">
        <v>22</v>
      </c>
      <c r="G32" s="10" t="s">
        <v>22</v>
      </c>
      <c r="H32" s="10" t="s">
        <v>22</v>
      </c>
      <c r="I32" s="10" t="s">
        <v>22</v>
      </c>
      <c r="J32" s="10" t="s">
        <v>22</v>
      </c>
    </row>
    <row r="33" spans="1:10" x14ac:dyDescent="0.55000000000000004">
      <c r="A33">
        <v>894</v>
      </c>
      <c r="B33" s="4" t="s">
        <v>24</v>
      </c>
      <c r="C33" s="8">
        <v>0.122187</v>
      </c>
      <c r="D33" s="15">
        <v>0.39200000000000002</v>
      </c>
      <c r="E33" s="17">
        <v>0</v>
      </c>
      <c r="F33" s="10" t="s">
        <v>21</v>
      </c>
      <c r="G33" s="10" t="s">
        <v>21</v>
      </c>
      <c r="H33" s="10" t="s">
        <v>21</v>
      </c>
      <c r="I33" s="10" t="s">
        <v>21</v>
      </c>
      <c r="J33" s="10" t="s">
        <v>21</v>
      </c>
    </row>
    <row r="34" spans="1:10" x14ac:dyDescent="0.55000000000000004">
      <c r="A34">
        <v>895</v>
      </c>
      <c r="B34" s="4" t="s">
        <v>24</v>
      </c>
      <c r="C34" s="8">
        <v>9.8114000000000007E-2</v>
      </c>
      <c r="D34" s="15">
        <v>0.42438900000000002</v>
      </c>
      <c r="E34" s="17">
        <v>0</v>
      </c>
      <c r="F34" s="10" t="s">
        <v>21</v>
      </c>
      <c r="G34" s="10" t="s">
        <v>21</v>
      </c>
      <c r="H34" s="10" t="s">
        <v>21</v>
      </c>
      <c r="I34" s="10" t="s">
        <v>21</v>
      </c>
      <c r="J34" s="10" t="s">
        <v>21</v>
      </c>
    </row>
    <row r="35" spans="1:10" x14ac:dyDescent="0.55000000000000004">
      <c r="A35">
        <v>899</v>
      </c>
      <c r="B35" s="4" t="s">
        <v>24</v>
      </c>
      <c r="C35" s="8">
        <v>0.120616</v>
      </c>
      <c r="D35" s="15">
        <v>0.68766899999999997</v>
      </c>
      <c r="E35" s="17">
        <v>2</v>
      </c>
      <c r="F35" s="10" t="s">
        <v>21</v>
      </c>
      <c r="G35" s="10" t="s">
        <v>21</v>
      </c>
      <c r="H35" s="10" t="s">
        <v>21</v>
      </c>
      <c r="I35" s="10" t="s">
        <v>21</v>
      </c>
      <c r="J35" s="10" t="s">
        <v>21</v>
      </c>
    </row>
    <row r="36" spans="1:10" x14ac:dyDescent="0.55000000000000004">
      <c r="A36">
        <v>901</v>
      </c>
      <c r="B36" s="4" t="s">
        <v>24</v>
      </c>
      <c r="C36" s="8">
        <v>9.9429000000000003E-2</v>
      </c>
      <c r="D36" s="15">
        <v>0.35397499999999998</v>
      </c>
      <c r="E36" s="17">
        <v>0</v>
      </c>
      <c r="F36" s="10" t="s">
        <v>21</v>
      </c>
      <c r="G36" s="10" t="s">
        <v>21</v>
      </c>
      <c r="H36" s="10" t="s">
        <v>21</v>
      </c>
      <c r="I36" s="10" t="s">
        <v>21</v>
      </c>
      <c r="J36" s="10" t="s">
        <v>21</v>
      </c>
    </row>
    <row r="37" spans="1:10" x14ac:dyDescent="0.55000000000000004">
      <c r="A37">
        <v>904</v>
      </c>
      <c r="B37" s="4" t="s">
        <v>23</v>
      </c>
      <c r="C37" s="8">
        <v>0.21119299999999999</v>
      </c>
      <c r="D37" s="15">
        <v>0.57244200000000001</v>
      </c>
      <c r="E37" s="17">
        <v>21</v>
      </c>
      <c r="F37" s="10" t="s">
        <v>22</v>
      </c>
      <c r="G37" s="10" t="s">
        <v>22</v>
      </c>
      <c r="H37" s="10" t="s">
        <v>22</v>
      </c>
      <c r="I37" s="10" t="s">
        <v>22</v>
      </c>
      <c r="J37" s="10" t="s">
        <v>22</v>
      </c>
    </row>
    <row r="38" spans="1:10" x14ac:dyDescent="0.55000000000000004">
      <c r="A38">
        <v>906</v>
      </c>
      <c r="B38" s="4" t="s">
        <v>23</v>
      </c>
      <c r="C38" s="8">
        <v>0.297516</v>
      </c>
      <c r="D38" s="15">
        <v>0.68962100000000004</v>
      </c>
      <c r="E38" s="17">
        <v>29</v>
      </c>
      <c r="F38" s="10" t="s">
        <v>22</v>
      </c>
      <c r="G38" s="10" t="s">
        <v>22</v>
      </c>
      <c r="H38" s="10" t="s">
        <v>22</v>
      </c>
      <c r="I38" s="10" t="s">
        <v>22</v>
      </c>
      <c r="J38" s="10" t="s">
        <v>22</v>
      </c>
    </row>
    <row r="39" spans="1:10" x14ac:dyDescent="0.55000000000000004">
      <c r="A39">
        <v>915</v>
      </c>
      <c r="B39" s="4" t="s">
        <v>20</v>
      </c>
      <c r="C39" s="9">
        <v>0.13800599999999999</v>
      </c>
      <c r="D39" s="16">
        <v>0.982626</v>
      </c>
      <c r="E39" s="17">
        <v>14</v>
      </c>
      <c r="F39" s="10" t="s">
        <v>22</v>
      </c>
      <c r="G39" s="10" t="s">
        <v>22</v>
      </c>
      <c r="H39" s="10" t="s">
        <v>22</v>
      </c>
      <c r="I39" s="10" t="s">
        <v>22</v>
      </c>
      <c r="J39" s="10" t="s">
        <v>22</v>
      </c>
    </row>
    <row r="40" spans="1:10" x14ac:dyDescent="0.55000000000000004">
      <c r="A40">
        <v>916</v>
      </c>
      <c r="B40" s="4" t="s">
        <v>24</v>
      </c>
      <c r="C40" s="8">
        <v>7.3362999999999998E-2</v>
      </c>
      <c r="D40" s="15">
        <v>0.39280900000000002</v>
      </c>
      <c r="E40" s="17">
        <v>0</v>
      </c>
      <c r="F40" s="10" t="s">
        <v>21</v>
      </c>
      <c r="G40" s="10" t="s">
        <v>21</v>
      </c>
      <c r="H40" s="10" t="s">
        <v>21</v>
      </c>
      <c r="I40" s="10" t="s">
        <v>21</v>
      </c>
      <c r="J40" s="10" t="s">
        <v>21</v>
      </c>
    </row>
    <row r="41" spans="1:10" x14ac:dyDescent="0.55000000000000004">
      <c r="A41">
        <v>918</v>
      </c>
      <c r="B41" s="4" t="s">
        <v>23</v>
      </c>
      <c r="C41" s="8">
        <v>0.34659600000000002</v>
      </c>
      <c r="D41" s="15">
        <v>1.137721</v>
      </c>
      <c r="E41" s="17">
        <v>27</v>
      </c>
      <c r="F41" s="10" t="s">
        <v>22</v>
      </c>
      <c r="G41" s="10" t="s">
        <v>22</v>
      </c>
      <c r="H41" s="10" t="s">
        <v>22</v>
      </c>
      <c r="I41" s="10" t="s">
        <v>22</v>
      </c>
      <c r="J41" s="10" t="s">
        <v>22</v>
      </c>
    </row>
    <row r="42" spans="1:10" x14ac:dyDescent="0.55000000000000004">
      <c r="A42">
        <v>921</v>
      </c>
      <c r="B42" s="4" t="s">
        <v>24</v>
      </c>
      <c r="C42" s="8">
        <v>0.253909</v>
      </c>
      <c r="D42" s="15">
        <v>0.68464599999999998</v>
      </c>
      <c r="E42" s="17">
        <v>0</v>
      </c>
      <c r="F42" s="10" t="s">
        <v>21</v>
      </c>
      <c r="G42" s="10" t="s">
        <v>21</v>
      </c>
      <c r="H42" s="10" t="s">
        <v>21</v>
      </c>
      <c r="I42" s="10" t="s">
        <v>21</v>
      </c>
      <c r="J42" s="10" t="s">
        <v>21</v>
      </c>
    </row>
    <row r="43" spans="1:10" x14ac:dyDescent="0.55000000000000004">
      <c r="A43">
        <v>931</v>
      </c>
      <c r="B43" s="4" t="s">
        <v>23</v>
      </c>
      <c r="C43" s="8">
        <v>8.5580000000000003E-2</v>
      </c>
      <c r="D43" s="15">
        <v>0.369058</v>
      </c>
      <c r="E43" s="17">
        <v>15</v>
      </c>
      <c r="F43" s="10" t="s">
        <v>22</v>
      </c>
      <c r="G43" s="10" t="s">
        <v>22</v>
      </c>
      <c r="H43" s="10" t="s">
        <v>22</v>
      </c>
      <c r="I43" s="10" t="s">
        <v>21</v>
      </c>
      <c r="J43" s="10" t="s">
        <v>22</v>
      </c>
    </row>
    <row r="44" spans="1:10" x14ac:dyDescent="0.55000000000000004">
      <c r="A44">
        <v>932</v>
      </c>
      <c r="B44" s="4" t="s">
        <v>20</v>
      </c>
      <c r="C44" s="8">
        <v>6.0983999999999997E-2</v>
      </c>
      <c r="D44" s="15">
        <v>0.17417299999999999</v>
      </c>
      <c r="E44" s="17">
        <v>25</v>
      </c>
      <c r="F44" s="10" t="s">
        <v>22</v>
      </c>
      <c r="G44" s="10" t="s">
        <v>22</v>
      </c>
      <c r="H44" s="10" t="s">
        <v>22</v>
      </c>
      <c r="I44" s="10" t="s">
        <v>22</v>
      </c>
      <c r="J44" s="10" t="s">
        <v>22</v>
      </c>
    </row>
    <row r="45" spans="1:10" x14ac:dyDescent="0.55000000000000004">
      <c r="A45" s="1">
        <v>937</v>
      </c>
      <c r="B45" s="4" t="s">
        <v>24</v>
      </c>
      <c r="C45" s="8">
        <v>0.43835299999999999</v>
      </c>
      <c r="D45" s="15">
        <v>2.2931080000000001</v>
      </c>
      <c r="E45" s="19">
        <v>0</v>
      </c>
      <c r="F45" s="11" t="s">
        <v>21</v>
      </c>
      <c r="G45" s="11" t="s">
        <v>21</v>
      </c>
      <c r="H45" s="11" t="s">
        <v>21</v>
      </c>
      <c r="I45" s="11" t="s">
        <v>21</v>
      </c>
      <c r="J45" s="11" t="s">
        <v>21</v>
      </c>
    </row>
    <row r="46" spans="1:10" x14ac:dyDescent="0.55000000000000004">
      <c r="A46" s="2">
        <v>939</v>
      </c>
      <c r="B46" s="7" t="s">
        <v>23</v>
      </c>
      <c r="C46" s="8">
        <v>0.106437</v>
      </c>
      <c r="D46" s="15">
        <v>0.99481399999999998</v>
      </c>
      <c r="E46" s="20">
        <v>21</v>
      </c>
      <c r="F46" s="2" t="s">
        <v>22</v>
      </c>
      <c r="G46" s="2" t="s">
        <v>22</v>
      </c>
      <c r="H46" s="2" t="s">
        <v>22</v>
      </c>
      <c r="I46" s="2" t="s">
        <v>22</v>
      </c>
      <c r="J46" s="2" t="s">
        <v>22</v>
      </c>
    </row>
    <row r="47" spans="1:10" x14ac:dyDescent="0.55000000000000004">
      <c r="A47" s="1">
        <v>942</v>
      </c>
      <c r="B47" s="6" t="s">
        <v>20</v>
      </c>
      <c r="C47" s="8">
        <v>0.122974</v>
      </c>
      <c r="D47" s="15">
        <v>0.70203899999999997</v>
      </c>
      <c r="E47" s="19">
        <v>25</v>
      </c>
      <c r="F47" s="11" t="s">
        <v>22</v>
      </c>
      <c r="G47" s="11" t="s">
        <v>22</v>
      </c>
      <c r="H47" s="11" t="s">
        <v>22</v>
      </c>
      <c r="I47" s="11" t="s">
        <v>22</v>
      </c>
      <c r="J47" s="11" t="s">
        <v>21</v>
      </c>
    </row>
    <row r="48" spans="1:10" x14ac:dyDescent="0.55000000000000004">
      <c r="F48" s="10" t="s">
        <v>25</v>
      </c>
      <c r="G48" s="10" t="s">
        <v>25</v>
      </c>
      <c r="H48" s="10" t="s">
        <v>25</v>
      </c>
      <c r="I48" s="10" t="s">
        <v>25</v>
      </c>
      <c r="J48" s="10" t="s">
        <v>25</v>
      </c>
    </row>
    <row r="49" spans="1:10" x14ac:dyDescent="0.55000000000000004">
      <c r="A49">
        <f>COUNTA(A3:A47)</f>
        <v>45</v>
      </c>
      <c r="B49" s="4" t="s">
        <v>26</v>
      </c>
      <c r="C49" s="4">
        <f>AVERAGE(C3:C47)</f>
        <v>0.16974984444444441</v>
      </c>
      <c r="D49" s="4">
        <f>AVERAGE(D3:D47)</f>
        <v>0.75794826666666637</v>
      </c>
      <c r="F49" s="10">
        <f>COUNTIF(F3:F47,"yes")</f>
        <v>21</v>
      </c>
      <c r="G49" s="10">
        <f>COUNTIF(G3:G47,"yes")</f>
        <v>23</v>
      </c>
      <c r="H49" s="10">
        <f>COUNTIF(H3:H47,"yes")</f>
        <v>25</v>
      </c>
      <c r="I49" s="10">
        <f>COUNTIF(I3:I47,"yes")</f>
        <v>23</v>
      </c>
      <c r="J49" s="10">
        <f>COUNTIF(J3:J47,"yes")</f>
        <v>22</v>
      </c>
    </row>
    <row r="50" spans="1:10" x14ac:dyDescent="0.55000000000000004">
      <c r="B50" s="4" t="s">
        <v>27</v>
      </c>
      <c r="C50" s="4">
        <f>STDEV(C3:C47)</f>
        <v>8.8056548093193493E-2</v>
      </c>
      <c r="D50" s="4">
        <f>STDEV(D3:D47)</f>
        <v>0.45441412387322766</v>
      </c>
      <c r="F50" s="10" t="s">
        <v>28</v>
      </c>
      <c r="G50" s="10" t="s">
        <v>28</v>
      </c>
      <c r="H50" s="10" t="s">
        <v>28</v>
      </c>
      <c r="I50" s="10" t="s">
        <v>28</v>
      </c>
      <c r="J50" s="10" t="s">
        <v>28</v>
      </c>
    </row>
    <row r="51" spans="1:10" x14ac:dyDescent="0.55000000000000004">
      <c r="F51" s="10">
        <f>COUNTIF(F3:F47,"no")</f>
        <v>24</v>
      </c>
      <c r="G51" s="10">
        <f>COUNTIF(G3:G47,"no")</f>
        <v>22</v>
      </c>
      <c r="H51" s="10">
        <f>COUNTIF(H3:H47,"no")</f>
        <v>20</v>
      </c>
      <c r="I51" s="10">
        <f>COUNTIF(I3:I47,"no")</f>
        <v>22</v>
      </c>
      <c r="J51" s="10">
        <f>COUNTIF(J3:J47,"no")</f>
        <v>23</v>
      </c>
    </row>
    <row r="52" spans="1:10" x14ac:dyDescent="0.55000000000000004">
      <c r="A52" t="s">
        <v>29</v>
      </c>
      <c r="B52" s="4" t="s">
        <v>20</v>
      </c>
      <c r="C52" s="4">
        <f>AVERAGEIF(B3:B47,"MDD",C3:C47)</f>
        <v>0.15538357142857143</v>
      </c>
      <c r="D52" s="4">
        <f>AVERAGEIF(B3:B47,"MDD",D3:D47)</f>
        <v>0.95566971428571423</v>
      </c>
      <c r="F52" s="10"/>
      <c r="G52" s="10"/>
      <c r="H52" s="10"/>
      <c r="I52" s="10"/>
      <c r="J52" s="10"/>
    </row>
    <row r="53" spans="1:10" x14ac:dyDescent="0.55000000000000004">
      <c r="A53" t="s">
        <v>29</v>
      </c>
      <c r="B53" s="4" t="s">
        <v>23</v>
      </c>
      <c r="C53" s="4">
        <f>AVERAGEIF(B3:B47,"TRD",C3:C47)</f>
        <v>0.18355827777777781</v>
      </c>
      <c r="D53" s="4">
        <f>AVERAGEIF(B3:B47,"TRD",D3:D47)</f>
        <v>0.68204238888888902</v>
      </c>
      <c r="F53" s="10" t="s">
        <v>30</v>
      </c>
      <c r="G53" s="10" t="s">
        <v>30</v>
      </c>
      <c r="H53" s="10" t="s">
        <v>30</v>
      </c>
      <c r="I53" s="10" t="s">
        <v>30</v>
      </c>
      <c r="J53" s="10" t="s">
        <v>30</v>
      </c>
    </row>
    <row r="54" spans="1:10" x14ac:dyDescent="0.55000000000000004">
      <c r="F54" s="10">
        <f>(F49/$A$49)*100</f>
        <v>46.666666666666664</v>
      </c>
      <c r="G54" s="10">
        <f t="shared" ref="G54:J54" si="0">(G49/$A$49)*100</f>
        <v>51.111111111111107</v>
      </c>
      <c r="H54" s="10">
        <f t="shared" si="0"/>
        <v>55.555555555555557</v>
      </c>
      <c r="I54" s="10">
        <f t="shared" si="0"/>
        <v>51.111111111111107</v>
      </c>
      <c r="J54" s="10">
        <f t="shared" si="0"/>
        <v>48.888888888888886</v>
      </c>
    </row>
    <row r="55" spans="1:10" x14ac:dyDescent="0.55000000000000004">
      <c r="F55" t="s">
        <v>31</v>
      </c>
      <c r="G55" t="s">
        <v>31</v>
      </c>
      <c r="H55" t="s">
        <v>31</v>
      </c>
      <c r="I55" t="s">
        <v>31</v>
      </c>
      <c r="J55" t="s">
        <v>31</v>
      </c>
    </row>
    <row r="56" spans="1:10" x14ac:dyDescent="0.55000000000000004">
      <c r="F56">
        <f>(F51/$A$49)*100</f>
        <v>53.333333333333336</v>
      </c>
      <c r="G56">
        <f t="shared" ref="G56:J56" si="1">(G51/$A$49)*100</f>
        <v>48.888888888888886</v>
      </c>
      <c r="H56">
        <f t="shared" si="1"/>
        <v>44.444444444444443</v>
      </c>
      <c r="I56">
        <f t="shared" si="1"/>
        <v>48.888888888888886</v>
      </c>
      <c r="J56">
        <f t="shared" si="1"/>
        <v>51.111111111111107</v>
      </c>
    </row>
  </sheetData>
  <sortState xmlns:xlrd2="http://schemas.microsoft.com/office/spreadsheetml/2017/richdata2" ref="A2:D47">
    <sortCondition ref="A3:A47"/>
  </sortState>
  <mergeCells count="1">
    <mergeCell ref="C1:D1"/>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A5DF445824844B8BB297DC9BF64B75" ma:contentTypeVersion="15" ma:contentTypeDescription="Create a new document." ma:contentTypeScope="" ma:versionID="744ec474b2659779f08f165f47165096">
  <xsd:schema xmlns:xsd="http://www.w3.org/2001/XMLSchema" xmlns:xs="http://www.w3.org/2001/XMLSchema" xmlns:p="http://schemas.microsoft.com/office/2006/metadata/properties" xmlns:ns2="f12379f8-001f-4578-9d9f-d7bb59dbe5f2" xmlns:ns3="02f7dabf-9b8a-4e7a-bd25-159e30e385f4" targetNamespace="http://schemas.microsoft.com/office/2006/metadata/properties" ma:root="true" ma:fieldsID="be6cf91296a7edbce182a4e02ea4904f" ns2:_="" ns3:_="">
    <xsd:import namespace="f12379f8-001f-4578-9d9f-d7bb59dbe5f2"/>
    <xsd:import namespace="02f7dabf-9b8a-4e7a-bd25-159e30e385f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2379f8-001f-4578-9d9f-d7bb59dbe5f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9171c85-1afb-4cb0-9b10-1b804af732a2}" ma:internalName="TaxCatchAll" ma:showField="CatchAllData" ma:web="f12379f8-001f-4578-9d9f-d7bb59dbe5f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2f7dabf-9b8a-4e7a-bd25-159e30e385f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12379f8-001f-4578-9d9f-d7bb59dbe5f2" xsi:nil="true"/>
    <lcf76f155ced4ddcb4097134ff3c332f xmlns="02f7dabf-9b8a-4e7a-bd25-159e30e385f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D3A85E-AE25-414A-9E9D-D3873084B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2379f8-001f-4578-9d9f-d7bb59dbe5f2"/>
    <ds:schemaRef ds:uri="02f7dabf-9b8a-4e7a-bd25-159e30e385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0D98EF-6A8B-41A7-BD93-B2E40B1F2414}">
  <ds:schemaRefs>
    <ds:schemaRef ds:uri="http://schemas.microsoft.com/sharepoint/v3/contenttype/forms"/>
  </ds:schemaRefs>
</ds:datastoreItem>
</file>

<file path=customXml/itemProps3.xml><?xml version="1.0" encoding="utf-8"?>
<ds:datastoreItem xmlns:ds="http://schemas.openxmlformats.org/officeDocument/2006/customXml" ds:itemID="{D77BD132-D0ED-4EA5-B2DA-59B0183EAF21}">
  <ds:schemaRefs>
    <ds:schemaRef ds:uri="http://schemas.microsoft.com/office/2006/metadata/properties"/>
    <ds:schemaRef ds:uri="http://schemas.microsoft.com/office/infopath/2007/PartnerControls"/>
    <ds:schemaRef ds:uri="f12379f8-001f-4578-9d9f-d7bb59dbe5f2"/>
    <ds:schemaRef ds:uri="02f7dabf-9b8a-4e7a-bd25-159e30e385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Katie Black</cp:lastModifiedBy>
  <cp:revision/>
  <dcterms:created xsi:type="dcterms:W3CDTF">2023-03-10T02:30:12Z</dcterms:created>
  <dcterms:modified xsi:type="dcterms:W3CDTF">2023-03-23T22:18:10Z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0x01010066A5DF445824844B8BB297DC9BF64B75</vt:lpwstr>
  </property>
  <property fmtid="{D5CDD505-2E9C-101B-9397-08002B2CF9AE}" pid="3" name="MediaServiceImageTags">
    <vt:lpwstr/>
  </property>
</Properties>
</file>