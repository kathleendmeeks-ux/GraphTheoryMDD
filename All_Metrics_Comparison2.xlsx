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6"/>
  <workbookPr defaultThemeVersion="166925"/>
  <mc:AlternateContent xmlns:mc="http://schemas.openxmlformats.org/markup-compatibility/2006">
    <mc:Choice Requires="x15">
      <x15ac:absPath xmlns:x15ac="http://schemas.microsoft.com/office/spreadsheetml/2010/11/ac" url="https://pennstateoffice365.sharepoint.com/sites/b-geierlab/Shared Documents/Box Migration Data/b-geierlab Shared/Anhedonia/Cleaning&amp;Analysis/"/>
    </mc:Choice>
  </mc:AlternateContent>
  <xr:revisionPtr revIDLastSave="75" documentId="8_{598B2EFB-096D-480D-8E88-E1644FCA9305}" xr6:coauthVersionLast="47" xr6:coauthVersionMax="47" xr10:uidLastSave="{2213777F-A41E-4572-9904-3E9F3F46A913}"/>
  <bookViews>
    <workbookView xWindow="7242" yWindow="156" windowWidth="15240" windowHeight="10482" firstSheet="1" xr2:uid="{00000000-000D-0000-FFFF-FFFF00000000}"/>
  </bookViews>
  <sheets>
    <sheet name="forThesis" sheetId="2" r:id="rId1"/>
    <sheet name="all_metrics" sheetId="1" r:id="rId2"/>
  </sheets>
  <externalReferences>
    <externalReference r:id="rId3"/>
    <externalReference r:id="rId4"/>
    <externalReference r:id="rId5"/>
    <externalReference r:id="rId6"/>
  </externalReferences>
  <calcPr calcId="191028"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7" i="2" l="1"/>
  <c r="H47" i="2"/>
  <c r="H17" i="2"/>
  <c r="I17" i="2"/>
  <c r="H18" i="2"/>
  <c r="I18" i="2"/>
  <c r="H19" i="2"/>
  <c r="I19" i="2"/>
  <c r="H20" i="2"/>
  <c r="I20" i="2"/>
  <c r="H21" i="2"/>
  <c r="I21" i="2"/>
  <c r="H22" i="2"/>
  <c r="I22" i="2"/>
  <c r="H23" i="2"/>
  <c r="I23" i="2"/>
  <c r="H24" i="2"/>
  <c r="I24" i="2"/>
  <c r="H25" i="2"/>
  <c r="I25" i="2"/>
  <c r="H26" i="2"/>
  <c r="I26" i="2"/>
  <c r="H27" i="2"/>
  <c r="I27" i="2"/>
  <c r="H28" i="2"/>
  <c r="I28" i="2"/>
  <c r="H29" i="2"/>
  <c r="I29" i="2"/>
  <c r="H30" i="2"/>
  <c r="I30" i="2"/>
  <c r="H31" i="2"/>
  <c r="I31" i="2"/>
  <c r="H32" i="2"/>
  <c r="I32" i="2"/>
  <c r="H33" i="2"/>
  <c r="I33" i="2"/>
  <c r="H34" i="2"/>
  <c r="I34" i="2"/>
  <c r="H35" i="2"/>
  <c r="I35" i="2"/>
  <c r="H36" i="2"/>
  <c r="I36" i="2"/>
  <c r="H37" i="2"/>
  <c r="I37" i="2"/>
  <c r="H38" i="2"/>
  <c r="I38" i="2"/>
  <c r="H39" i="2"/>
  <c r="I39" i="2"/>
  <c r="H40" i="2"/>
  <c r="I40" i="2"/>
  <c r="H41" i="2"/>
  <c r="I41" i="2"/>
  <c r="H42" i="2"/>
  <c r="I42" i="2"/>
  <c r="H43" i="2"/>
  <c r="I43" i="2"/>
  <c r="H44" i="2"/>
  <c r="I44" i="2"/>
  <c r="H45" i="2"/>
  <c r="I45" i="2"/>
  <c r="H46" i="2"/>
  <c r="I46" i="2"/>
  <c r="H5" i="2"/>
  <c r="I5" i="2"/>
  <c r="H6" i="2"/>
  <c r="I6" i="2"/>
  <c r="H7" i="2"/>
  <c r="I7" i="2"/>
  <c r="H8" i="2"/>
  <c r="I8" i="2"/>
  <c r="H9" i="2"/>
  <c r="I9" i="2"/>
  <c r="H10" i="2"/>
  <c r="I10" i="2"/>
  <c r="H11" i="2"/>
  <c r="I11" i="2"/>
  <c r="H12" i="2"/>
  <c r="I12" i="2"/>
  <c r="H13" i="2"/>
  <c r="I13" i="2"/>
  <c r="H14" i="2"/>
  <c r="I14" i="2"/>
  <c r="H15" i="2"/>
  <c r="I15" i="2"/>
  <c r="H16" i="2"/>
  <c r="I16" i="2"/>
  <c r="I4" i="2"/>
  <c r="H4" i="2"/>
  <c r="I3" i="2"/>
  <c r="H3" i="2"/>
  <c r="I54" i="2"/>
  <c r="H54" i="2"/>
  <c r="I53" i="2"/>
  <c r="H53" i="2"/>
  <c r="I52" i="2"/>
  <c r="H52" i="2"/>
  <c r="I50" i="2"/>
  <c r="H50" i="2"/>
  <c r="I49" i="2"/>
  <c r="H49" i="2"/>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3" i="1"/>
  <c r="O49" i="1"/>
  <c r="O50" i="1"/>
  <c r="O52" i="1"/>
  <c r="O53" i="1"/>
  <c r="O54"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 i="1"/>
  <c r="N5" i="1"/>
  <c r="N6" i="1"/>
  <c r="N7" i="1"/>
  <c r="N8" i="1"/>
  <c r="N9" i="1"/>
  <c r="N10" i="1"/>
  <c r="N11" i="1"/>
  <c r="N3" i="1"/>
  <c r="G4" i="2"/>
  <c r="J4" i="2"/>
  <c r="G5" i="2"/>
  <c r="J5" i="2"/>
  <c r="G6" i="2"/>
  <c r="J6" i="2"/>
  <c r="G7" i="2"/>
  <c r="J7" i="2"/>
  <c r="G8" i="2"/>
  <c r="J8" i="2"/>
  <c r="G9" i="2"/>
  <c r="J9" i="2"/>
  <c r="G10" i="2"/>
  <c r="J10" i="2"/>
  <c r="G11" i="2"/>
  <c r="J11" i="2"/>
  <c r="G12" i="2"/>
  <c r="J12" i="2"/>
  <c r="G13" i="2"/>
  <c r="J13" i="2"/>
  <c r="G14" i="2"/>
  <c r="J14" i="2"/>
  <c r="G15" i="2"/>
  <c r="J15" i="2"/>
  <c r="G16" i="2"/>
  <c r="J16" i="2"/>
  <c r="G17" i="2"/>
  <c r="J17" i="2"/>
  <c r="G18" i="2"/>
  <c r="J18" i="2"/>
  <c r="G19" i="2"/>
  <c r="J19" i="2"/>
  <c r="G20" i="2"/>
  <c r="J20" i="2"/>
  <c r="G21" i="2"/>
  <c r="J21" i="2"/>
  <c r="G22" i="2"/>
  <c r="J22" i="2"/>
  <c r="G23" i="2"/>
  <c r="J23" i="2"/>
  <c r="G24" i="2"/>
  <c r="J24" i="2"/>
  <c r="G25" i="2"/>
  <c r="J25" i="2"/>
  <c r="G26" i="2"/>
  <c r="J26" i="2"/>
  <c r="G27" i="2"/>
  <c r="J27" i="2"/>
  <c r="G28" i="2"/>
  <c r="J28" i="2"/>
  <c r="G29" i="2"/>
  <c r="J29" i="2"/>
  <c r="G30" i="2"/>
  <c r="J30" i="2"/>
  <c r="G31" i="2"/>
  <c r="J31" i="2"/>
  <c r="G32" i="2"/>
  <c r="J32" i="2"/>
  <c r="G33" i="2"/>
  <c r="J33" i="2"/>
  <c r="G34" i="2"/>
  <c r="J34" i="2"/>
  <c r="G35" i="2"/>
  <c r="J35" i="2"/>
  <c r="G36" i="2"/>
  <c r="J36" i="2"/>
  <c r="G37" i="2"/>
  <c r="J37" i="2"/>
  <c r="G38" i="2"/>
  <c r="J38" i="2"/>
  <c r="G39" i="2"/>
  <c r="J39" i="2"/>
  <c r="G40" i="2"/>
  <c r="J40" i="2"/>
  <c r="G41" i="2"/>
  <c r="J41" i="2"/>
  <c r="G42" i="2"/>
  <c r="J42" i="2"/>
  <c r="G43" i="2"/>
  <c r="J43" i="2"/>
  <c r="G44" i="2"/>
  <c r="J44" i="2"/>
  <c r="G45" i="2"/>
  <c r="J45" i="2"/>
  <c r="G46" i="2"/>
  <c r="J46" i="2"/>
  <c r="G47" i="2"/>
  <c r="J47" i="2"/>
  <c r="J3" i="2"/>
  <c r="G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3" i="2"/>
  <c r="F34" i="2"/>
  <c r="F35" i="2"/>
  <c r="F36" i="2"/>
  <c r="F37" i="2"/>
  <c r="F38" i="2"/>
  <c r="F39" i="2"/>
  <c r="F40" i="2"/>
  <c r="F41" i="2"/>
  <c r="F42" i="2"/>
  <c r="F43" i="2"/>
  <c r="F44" i="2"/>
  <c r="F45" i="2"/>
  <c r="F46" i="2"/>
  <c r="F47" i="2"/>
  <c r="F3" i="2"/>
  <c r="J54" i="2"/>
  <c r="G54" i="2"/>
  <c r="F54" i="2"/>
  <c r="J53" i="2"/>
  <c r="G53" i="2"/>
  <c r="F53" i="2"/>
  <c r="J52" i="2"/>
  <c r="G52" i="2"/>
  <c r="F52" i="2"/>
  <c r="J50" i="2"/>
  <c r="G50" i="2"/>
  <c r="F50" i="2"/>
  <c r="J49" i="2"/>
  <c r="G49" i="2"/>
  <c r="F49" i="2"/>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3" i="1"/>
  <c r="L34" i="1"/>
  <c r="L35" i="1"/>
  <c r="L36" i="1"/>
  <c r="L37" i="1"/>
  <c r="L38" i="1"/>
  <c r="L39" i="1"/>
  <c r="L40" i="1"/>
  <c r="L41" i="1"/>
  <c r="L42" i="1"/>
  <c r="L43" i="1"/>
  <c r="L44" i="1"/>
  <c r="L45" i="1"/>
  <c r="L46" i="1"/>
  <c r="L47" i="1"/>
  <c r="L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3" i="1"/>
  <c r="F49" i="1"/>
  <c r="G49" i="1"/>
  <c r="H49" i="1"/>
  <c r="I49" i="1"/>
  <c r="J49" i="1"/>
  <c r="K49" i="1"/>
  <c r="L49"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9" i="1"/>
  <c r="P49" i="1"/>
  <c r="Q49" i="1"/>
  <c r="F50" i="1"/>
  <c r="G50" i="1"/>
  <c r="H50" i="1"/>
  <c r="I50" i="1"/>
  <c r="J50" i="1"/>
  <c r="K50" i="1"/>
  <c r="L50" i="1"/>
  <c r="M50" i="1"/>
  <c r="P50" i="1"/>
  <c r="Q50" i="1"/>
  <c r="K3" i="2"/>
  <c r="L3" i="2"/>
  <c r="M3" i="2"/>
  <c r="N3" i="2"/>
  <c r="K4" i="2"/>
  <c r="L4" i="2"/>
  <c r="M4" i="2"/>
  <c r="N4" i="2"/>
  <c r="K5" i="2"/>
  <c r="L5" i="2"/>
  <c r="M5" i="2"/>
  <c r="N5" i="2"/>
  <c r="K6" i="2"/>
  <c r="L6" i="2"/>
  <c r="M6" i="2"/>
  <c r="N6" i="2"/>
  <c r="K7" i="2"/>
  <c r="L7" i="2"/>
  <c r="M7" i="2"/>
  <c r="N7" i="2"/>
  <c r="K8" i="2"/>
  <c r="L8" i="2"/>
  <c r="M8" i="2"/>
  <c r="N8" i="2"/>
  <c r="K9" i="2"/>
  <c r="L9" i="2"/>
  <c r="M9" i="2"/>
  <c r="N9" i="2"/>
  <c r="K10" i="2"/>
  <c r="L10" i="2"/>
  <c r="M10" i="2"/>
  <c r="N10" i="2"/>
  <c r="K11" i="2"/>
  <c r="L11" i="2"/>
  <c r="M11" i="2"/>
  <c r="N11" i="2"/>
  <c r="K12" i="2"/>
  <c r="L12" i="2"/>
  <c r="M12" i="2"/>
  <c r="N12" i="2"/>
  <c r="K13" i="2"/>
  <c r="L13" i="2"/>
  <c r="M13" i="2"/>
  <c r="N13" i="2"/>
  <c r="K14" i="2"/>
  <c r="L14" i="2"/>
  <c r="M14" i="2"/>
  <c r="N14" i="2"/>
  <c r="K15" i="2"/>
  <c r="L15" i="2"/>
  <c r="M15" i="2"/>
  <c r="N15" i="2"/>
  <c r="K16" i="2"/>
  <c r="L16" i="2"/>
  <c r="M16" i="2"/>
  <c r="N16" i="2"/>
  <c r="K17" i="2"/>
  <c r="L17" i="2"/>
  <c r="M17" i="2"/>
  <c r="N17" i="2"/>
  <c r="K18" i="2"/>
  <c r="L18" i="2"/>
  <c r="M18" i="2"/>
  <c r="N18" i="2"/>
  <c r="K19" i="2"/>
  <c r="L19" i="2"/>
  <c r="M19" i="2"/>
  <c r="N19" i="2"/>
  <c r="K20" i="2"/>
  <c r="L20" i="2"/>
  <c r="M20" i="2"/>
  <c r="N20" i="2"/>
  <c r="K21" i="2"/>
  <c r="L21" i="2"/>
  <c r="M21" i="2"/>
  <c r="N21" i="2"/>
  <c r="K22" i="2"/>
  <c r="L22" i="2"/>
  <c r="M22" i="2"/>
  <c r="N22" i="2"/>
  <c r="K23" i="2"/>
  <c r="L23" i="2"/>
  <c r="M23" i="2"/>
  <c r="N23" i="2"/>
  <c r="K24" i="2"/>
  <c r="L24" i="2"/>
  <c r="M24" i="2"/>
  <c r="N24" i="2"/>
  <c r="K25" i="2"/>
  <c r="L25" i="2"/>
  <c r="M25" i="2"/>
  <c r="N25" i="2"/>
  <c r="K26" i="2"/>
  <c r="L26" i="2"/>
  <c r="M26" i="2"/>
  <c r="N26" i="2"/>
  <c r="K27" i="2"/>
  <c r="L27" i="2"/>
  <c r="M27" i="2"/>
  <c r="N27" i="2"/>
  <c r="K28" i="2"/>
  <c r="L28" i="2"/>
  <c r="M28" i="2"/>
  <c r="N28" i="2"/>
  <c r="K29" i="2"/>
  <c r="L29" i="2"/>
  <c r="M29" i="2"/>
  <c r="N29" i="2"/>
  <c r="K30" i="2"/>
  <c r="L30" i="2"/>
  <c r="M30" i="2"/>
  <c r="N30" i="2"/>
  <c r="K31" i="2"/>
  <c r="L31" i="2"/>
  <c r="M31" i="2"/>
  <c r="N31" i="2"/>
  <c r="K32" i="2"/>
  <c r="L32" i="2"/>
  <c r="M32" i="2"/>
  <c r="N32" i="2"/>
  <c r="K33" i="2"/>
  <c r="L33" i="2"/>
  <c r="M33" i="2"/>
  <c r="N33" i="2"/>
  <c r="K34" i="2"/>
  <c r="L34" i="2"/>
  <c r="M34" i="2"/>
  <c r="N34" i="2"/>
  <c r="K35" i="2"/>
  <c r="L35" i="2"/>
  <c r="M35" i="2"/>
  <c r="N35" i="2"/>
  <c r="K36" i="2"/>
  <c r="L36" i="2"/>
  <c r="M36" i="2"/>
  <c r="N36" i="2"/>
  <c r="K37" i="2"/>
  <c r="L37" i="2"/>
  <c r="M37" i="2"/>
  <c r="N37" i="2"/>
  <c r="K38" i="2"/>
  <c r="L38" i="2"/>
  <c r="M38" i="2"/>
  <c r="N38" i="2"/>
  <c r="K39" i="2"/>
  <c r="L39" i="2"/>
  <c r="M39" i="2"/>
  <c r="N39" i="2"/>
  <c r="K40" i="2"/>
  <c r="L40" i="2"/>
  <c r="M40" i="2"/>
  <c r="N40" i="2"/>
  <c r="K41" i="2"/>
  <c r="L41" i="2"/>
  <c r="M41" i="2"/>
  <c r="N41" i="2"/>
  <c r="K42" i="2"/>
  <c r="L42" i="2"/>
  <c r="M42" i="2"/>
  <c r="N42" i="2"/>
  <c r="K43" i="2"/>
  <c r="L43" i="2"/>
  <c r="M43" i="2"/>
  <c r="N43" i="2"/>
  <c r="K44" i="2"/>
  <c r="L44" i="2"/>
  <c r="M44" i="2"/>
  <c r="N44" i="2"/>
  <c r="K45" i="2"/>
  <c r="L45" i="2"/>
  <c r="M45" i="2"/>
  <c r="N45" i="2"/>
  <c r="K46" i="2"/>
  <c r="L46" i="2"/>
  <c r="M46" i="2"/>
  <c r="N46" i="2"/>
  <c r="K47" i="2"/>
  <c r="L47" i="2"/>
  <c r="M47" i="2"/>
  <c r="N47" i="2"/>
  <c r="E54" i="2"/>
  <c r="D54" i="2"/>
  <c r="C54" i="2"/>
  <c r="E53" i="2"/>
  <c r="D53" i="2"/>
  <c r="C53" i="2"/>
  <c r="E52" i="2"/>
  <c r="D52" i="2"/>
  <c r="C52" i="2"/>
  <c r="E50" i="2"/>
  <c r="D50" i="2"/>
  <c r="C50" i="2"/>
  <c r="E49" i="2"/>
  <c r="D49" i="2"/>
  <c r="C49" i="2"/>
  <c r="A49" i="2"/>
  <c r="K54" i="2"/>
  <c r="L50" i="2"/>
  <c r="T3" i="1"/>
  <c r="E52" i="1"/>
  <c r="F52" i="1"/>
  <c r="G52" i="1"/>
  <c r="H52" i="1"/>
  <c r="I52" i="1"/>
  <c r="J52" i="1"/>
  <c r="K52" i="1"/>
  <c r="L52" i="1"/>
  <c r="M52" i="1"/>
  <c r="P52" i="1"/>
  <c r="Q52" i="1"/>
  <c r="R7" i="1"/>
  <c r="R10" i="1"/>
  <c r="R12" i="1"/>
  <c r="R14" i="1"/>
  <c r="R3" i="1"/>
  <c r="R4" i="1"/>
  <c r="R5" i="1"/>
  <c r="R6" i="1"/>
  <c r="R8" i="1"/>
  <c r="R9" i="1"/>
  <c r="R11" i="1"/>
  <c r="R13"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52" i="1"/>
  <c r="E53" i="1"/>
  <c r="F53" i="1"/>
  <c r="G53" i="1"/>
  <c r="H53" i="1"/>
  <c r="I53" i="1"/>
  <c r="J53" i="1"/>
  <c r="K53" i="1"/>
  <c r="L53" i="1"/>
  <c r="M53" i="1"/>
  <c r="P53" i="1"/>
  <c r="Q53" i="1"/>
  <c r="R53" i="1"/>
  <c r="E54" i="1"/>
  <c r="F54" i="1"/>
  <c r="G54" i="1"/>
  <c r="H54" i="1"/>
  <c r="I54" i="1"/>
  <c r="J54" i="1"/>
  <c r="K54" i="1"/>
  <c r="L54" i="1"/>
  <c r="M54" i="1"/>
  <c r="P54" i="1"/>
  <c r="Q54" i="1"/>
  <c r="R54" i="1"/>
  <c r="D54" i="1"/>
  <c r="D53" i="1"/>
  <c r="D52" i="1"/>
  <c r="S44" i="1"/>
  <c r="T44" i="1"/>
  <c r="U44" i="1"/>
  <c r="S45" i="1"/>
  <c r="T45" i="1"/>
  <c r="U45" i="1"/>
  <c r="S46" i="1"/>
  <c r="T46" i="1"/>
  <c r="U46" i="1"/>
  <c r="S47" i="1"/>
  <c r="T47" i="1"/>
  <c r="U47" i="1"/>
  <c r="S25" i="1"/>
  <c r="T25" i="1"/>
  <c r="U25" i="1"/>
  <c r="S26" i="1"/>
  <c r="T26" i="1"/>
  <c r="U26" i="1"/>
  <c r="S27" i="1"/>
  <c r="T27" i="1"/>
  <c r="U27" i="1"/>
  <c r="S28" i="1"/>
  <c r="T28" i="1"/>
  <c r="U28" i="1"/>
  <c r="S29" i="1"/>
  <c r="T29" i="1"/>
  <c r="U29" i="1"/>
  <c r="S30" i="1"/>
  <c r="T30" i="1"/>
  <c r="U30" i="1"/>
  <c r="S31" i="1"/>
  <c r="T31" i="1"/>
  <c r="U31" i="1"/>
  <c r="S32" i="1"/>
  <c r="T32" i="1"/>
  <c r="U32" i="1"/>
  <c r="S33" i="1"/>
  <c r="T33" i="1"/>
  <c r="U33" i="1"/>
  <c r="S34" i="1"/>
  <c r="T34" i="1"/>
  <c r="U34" i="1"/>
  <c r="S35" i="1"/>
  <c r="T35" i="1"/>
  <c r="U35" i="1"/>
  <c r="S36" i="1"/>
  <c r="T36" i="1"/>
  <c r="U36" i="1"/>
  <c r="S37" i="1"/>
  <c r="T37" i="1"/>
  <c r="U37" i="1"/>
  <c r="S38" i="1"/>
  <c r="T38" i="1"/>
  <c r="U38" i="1"/>
  <c r="S39" i="1"/>
  <c r="T39" i="1"/>
  <c r="U39" i="1"/>
  <c r="S40" i="1"/>
  <c r="T40" i="1"/>
  <c r="U40" i="1"/>
  <c r="S41" i="1"/>
  <c r="T41" i="1"/>
  <c r="U41" i="1"/>
  <c r="S42" i="1"/>
  <c r="T42" i="1"/>
  <c r="U42" i="1"/>
  <c r="S43" i="1"/>
  <c r="T43" i="1"/>
  <c r="U43" i="1"/>
  <c r="S4" i="1"/>
  <c r="T4" i="1"/>
  <c r="U4" i="1"/>
  <c r="S5" i="1"/>
  <c r="T5" i="1"/>
  <c r="U5" i="1"/>
  <c r="S6" i="1"/>
  <c r="T6" i="1"/>
  <c r="U6" i="1"/>
  <c r="S7" i="1"/>
  <c r="S10" i="1"/>
  <c r="S12" i="1"/>
  <c r="S14" i="1"/>
  <c r="S15" i="1"/>
  <c r="S3" i="1"/>
  <c r="S8" i="1"/>
  <c r="S9" i="1"/>
  <c r="S11" i="1"/>
  <c r="S13" i="1"/>
  <c r="S16" i="1"/>
  <c r="S17" i="1"/>
  <c r="S18" i="1"/>
  <c r="S19" i="1"/>
  <c r="S20" i="1"/>
  <c r="S21" i="1"/>
  <c r="S22" i="1"/>
  <c r="S23" i="1"/>
  <c r="S24" i="1"/>
  <c r="S52" i="1"/>
  <c r="T7" i="1"/>
  <c r="U7" i="1"/>
  <c r="T8" i="1"/>
  <c r="U8" i="1"/>
  <c r="T9" i="1"/>
  <c r="U9" i="1"/>
  <c r="T10" i="1"/>
  <c r="U10" i="1"/>
  <c r="T11" i="1"/>
  <c r="U11" i="1"/>
  <c r="T12" i="1"/>
  <c r="U12" i="1"/>
  <c r="T13" i="1"/>
  <c r="U13" i="1"/>
  <c r="T14" i="1"/>
  <c r="U14" i="1"/>
  <c r="T15" i="1"/>
  <c r="U15" i="1"/>
  <c r="T16" i="1"/>
  <c r="U16" i="1"/>
  <c r="T17" i="1"/>
  <c r="U17" i="1"/>
  <c r="T18" i="1"/>
  <c r="U18" i="1"/>
  <c r="T19" i="1"/>
  <c r="U19" i="1"/>
  <c r="T20" i="1"/>
  <c r="U20" i="1"/>
  <c r="T21" i="1"/>
  <c r="U21" i="1"/>
  <c r="T22" i="1"/>
  <c r="U22" i="1"/>
  <c r="T23" i="1"/>
  <c r="U23" i="1"/>
  <c r="T24" i="1"/>
  <c r="U24" i="1"/>
  <c r="U3" i="1"/>
  <c r="E49" i="1"/>
  <c r="E50" i="1"/>
  <c r="C52" i="1"/>
  <c r="A49" i="1"/>
  <c r="F57" i="1"/>
  <c r="C54" i="1"/>
  <c r="C53" i="1"/>
  <c r="D50" i="1"/>
  <c r="C50" i="1"/>
  <c r="D49" i="1"/>
  <c r="C49" i="1"/>
  <c r="K50" i="2"/>
  <c r="N53" i="2"/>
  <c r="N52" i="2"/>
  <c r="L54" i="2"/>
  <c r="M54" i="2"/>
  <c r="N54" i="2"/>
  <c r="K53" i="2"/>
  <c r="K52" i="2"/>
  <c r="L53" i="2"/>
  <c r="L52" i="2"/>
  <c r="M53" i="2"/>
  <c r="M52" i="2"/>
  <c r="K49" i="2"/>
  <c r="L49" i="2"/>
  <c r="M50" i="2"/>
  <c r="M49" i="2"/>
  <c r="N50" i="2"/>
  <c r="N49" i="2"/>
  <c r="U52" i="1"/>
  <c r="T52" i="1"/>
  <c r="U53" i="1"/>
  <c r="T54" i="1"/>
  <c r="U54" i="1"/>
  <c r="S53" i="1"/>
  <c r="S54" i="1"/>
  <c r="T53" i="1"/>
  <c r="T49" i="1"/>
  <c r="T50" i="1"/>
  <c r="U49" i="1"/>
  <c r="U50" i="1"/>
  <c r="S49" i="1"/>
  <c r="S50" i="1"/>
  <c r="F55" i="1"/>
  <c r="R50" i="1"/>
  <c r="R49" i="1"/>
  <c r="J57" i="1"/>
  <c r="G57" i="1"/>
  <c r="I55" i="1"/>
  <c r="I57" i="1"/>
  <c r="H55" i="1"/>
  <c r="H57" i="1"/>
  <c r="G55" i="1"/>
  <c r="J55" i="1"/>
  <c r="N49" i="1" l="1"/>
  <c r="N50" i="1"/>
  <c r="N53" i="1"/>
  <c r="N52" i="1"/>
  <c r="N5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Meeks, Kathleen</author>
  </authors>
  <commentList>
    <comment ref="C1" authorId="0" shapeId="0" xr:uid="{0106C7BD-E587-47B6-BF7C-502F5025268E}">
      <text>
        <r>
          <rPr>
            <b/>
            <sz val="9"/>
            <color indexed="81"/>
            <rFont val="Tahoma"/>
            <charset val="1"/>
          </rPr>
          <t>Administrator:</t>
        </r>
        <r>
          <rPr>
            <sz val="9"/>
            <color indexed="81"/>
            <rFont val="Tahoma"/>
            <charset val="1"/>
          </rPr>
          <t xml:space="preserve">
from XCP engine QC:</t>
        </r>
      </text>
    </comment>
    <comment ref="B2" authorId="1" shapeId="0" xr:uid="{095A7360-E41E-4E5C-AF6D-0455C0EBF49D}">
      <text>
        <r>
          <rPr>
            <sz val="11"/>
            <color theme="1"/>
            <rFont val="Calibri"/>
            <family val="2"/>
            <scheme val="minor"/>
          </rPr>
          <t>Meeks, Kathleen:
In csv, HC=1, MDD=2, TRD=3</t>
        </r>
      </text>
    </comment>
    <comment ref="F2" authorId="0" shapeId="0" xr:uid="{CA257A8A-082C-4A34-85AA-EC2981C073D5}">
      <text>
        <r>
          <rPr>
            <b/>
            <sz val="9"/>
            <color indexed="81"/>
            <rFont val="Tahoma"/>
            <charset val="1"/>
          </rPr>
          <t xml:space="preserve">Administrator: </t>
        </r>
        <r>
          <rPr>
            <sz val="9"/>
            <color indexed="81"/>
            <rFont val="Tahoma"/>
            <family val="2"/>
          </rPr>
          <t>"Are you currently or ever been diagnosed with a psychiatric illness?"</t>
        </r>
        <r>
          <rPr>
            <sz val="9"/>
            <color indexed="81"/>
            <rFont val="Tahoma"/>
            <charset val="1"/>
          </rPr>
          <t xml:space="preserve">
</t>
        </r>
      </text>
    </comment>
    <comment ref="G2" authorId="0" shapeId="0" xr:uid="{3E90D765-79A6-4F4F-95C3-740CB2AE7C96}">
      <text>
        <r>
          <rPr>
            <b/>
            <sz val="9"/>
            <color indexed="81"/>
            <rFont val="Tahoma"/>
            <family val="2"/>
          </rPr>
          <t>Administrator:</t>
        </r>
        <r>
          <rPr>
            <sz val="9"/>
            <color indexed="81"/>
            <rFont val="Tahoma"/>
            <family val="2"/>
          </rPr>
          <t xml:space="preserve">
Have you ever been diagnosed with major depressive disorder/depression</t>
        </r>
      </text>
    </comment>
    <comment ref="H2" authorId="0" shapeId="0" xr:uid="{B34650AF-C495-4351-9CA6-49A89A83EE0C}">
      <text>
        <r>
          <rPr>
            <b/>
            <sz val="9"/>
            <color indexed="81"/>
            <rFont val="Tahoma"/>
            <family val="2"/>
          </rPr>
          <t>Administrator:</t>
        </r>
        <r>
          <rPr>
            <sz val="9"/>
            <color indexed="81"/>
            <rFont val="Tahoma"/>
            <family val="2"/>
          </rPr>
          <t xml:space="preserve">
Have you been feeling down or depressed, sad or hopeless in the last two weeks?</t>
        </r>
      </text>
    </comment>
    <comment ref="I2" authorId="0" shapeId="0" xr:uid="{09000EC9-6F53-4080-8DA4-03FF4C1DF4FA}">
      <text>
        <r>
          <rPr>
            <b/>
            <sz val="9"/>
            <color indexed="81"/>
            <rFont val="Tahoma"/>
            <family val="2"/>
          </rPr>
          <t>Administrator:</t>
        </r>
        <r>
          <rPr>
            <sz val="9"/>
            <color indexed="81"/>
            <rFont val="Tahoma"/>
            <family val="2"/>
          </rPr>
          <t xml:space="preserve">
Have you, in the last two weeks, lost interest or pleasure in thingsyou usually enjoy?</t>
        </r>
      </text>
    </comment>
    <comment ref="J2" authorId="0" shapeId="0" xr:uid="{55A3D6CC-84E7-48C7-9FD4-270FCE9DEBA0}">
      <text>
        <r>
          <rPr>
            <b/>
            <sz val="9"/>
            <color indexed="81"/>
            <rFont val="Tahoma"/>
            <family val="2"/>
          </rPr>
          <t>Administrator:</t>
        </r>
        <r>
          <rPr>
            <sz val="9"/>
            <color indexed="81"/>
            <rFont val="Tahoma"/>
            <family val="2"/>
          </rPr>
          <t xml:space="preserve">
Are you currently receiving medical treatment for depression?</t>
        </r>
      </text>
    </comment>
    <comment ref="K2" authorId="0" shapeId="0" xr:uid="{293CE11C-9FFF-48E4-BBF0-C8F5EDD18A82}">
      <text>
        <r>
          <rPr>
            <b/>
            <sz val="9"/>
            <color indexed="81"/>
            <rFont val="Tahoma"/>
            <family val="2"/>
          </rPr>
          <t>Administrator:</t>
        </r>
        <r>
          <rPr>
            <sz val="9"/>
            <color indexed="81"/>
            <rFont val="Tahoma"/>
            <family val="2"/>
          </rPr>
          <t xml:space="preserve">
"recurrent" box from MINI??
[a_mde]
A. Major Depressive episode
MDE: ([mini_major_depress])
MDE time frame: Current: ([mini_a5_cp(1)]); Past: ([mini_a5_cp(2)]),and Recurrent: ([mini_a5_cp(3)])
checkbox
1 a_mde___1 Current (Past 2 weeks)
2 a_mde___2 Past
3 a_mde___3 Recurrent</t>
        </r>
      </text>
    </comment>
    <comment ref="Q2" authorId="0" shapeId="0" xr:uid="{55F0934F-18E9-4A65-9D73-08848EC4F1D0}">
      <text>
        <r>
          <rPr>
            <b/>
            <sz val="9"/>
            <color indexed="81"/>
            <rFont val="Tahoma"/>
            <family val="2"/>
          </rPr>
          <t>Administrator:</t>
        </r>
        <r>
          <rPr>
            <sz val="9"/>
            <color indexed="81"/>
            <rFont val="Tahoma"/>
            <family val="2"/>
          </rPr>
          <t xml:space="preserve">
"I am going to list out some other medications, let me know if you've tried any of the following and if they didn't work. (inquire about each failed dosage and marked medication) 
SSRIcheckbox:
0 ssri___0 Luvox
1 ssri___1 Paxil
2 ssri___2 Prozac
3 ssri___3 Zoloft
4 ssri___4 Celexa
5 ssri___5 Lexapro</t>
        </r>
      </text>
    </comment>
  </commentList>
</comments>
</file>

<file path=xl/sharedStrings.xml><?xml version="1.0" encoding="utf-8"?>
<sst xmlns="http://schemas.openxmlformats.org/spreadsheetml/2006/main" count="382" uniqueCount="36">
  <si>
    <t>Motion Parameters</t>
  </si>
  <si>
    <t>Clinical Factors</t>
  </si>
  <si>
    <t>Graph Theory Metrics</t>
  </si>
  <si>
    <t>Subject ID</t>
  </si>
  <si>
    <t>type</t>
  </si>
  <si>
    <t>relMean RMSMotion</t>
  </si>
  <si>
    <t>relMax RMSMotion</t>
  </si>
  <si>
    <t>MADRS score</t>
  </si>
  <si>
    <t>SHAPS total score</t>
  </si>
  <si>
    <t>DARS</t>
  </si>
  <si>
    <t>TEPS - ant</t>
  </si>
  <si>
    <t>TEPS - cons</t>
  </si>
  <si>
    <t>TEPS</t>
  </si>
  <si>
    <t>overall FC</t>
  </si>
  <si>
    <t>mean degree</t>
  </si>
  <si>
    <t>modularity</t>
  </si>
  <si>
    <t>mean strength</t>
  </si>
  <si>
    <t>MDD</t>
  </si>
  <si>
    <t>TRD</t>
  </si>
  <si>
    <t>HC</t>
  </si>
  <si>
    <t>MEAN</t>
  </si>
  <si>
    <t>STDEV</t>
  </si>
  <si>
    <t>mean</t>
  </si>
  <si>
    <t>relMeanRMSMotion</t>
  </si>
  <si>
    <t>relMaxRMSMotion</t>
  </si>
  <si>
    <t>psychiatric diagnoses</t>
  </si>
  <si>
    <t>depression</t>
  </si>
  <si>
    <t>feeling_down</t>
  </si>
  <si>
    <t>anhedonia</t>
  </si>
  <si>
    <t>depression_treatment</t>
  </si>
  <si>
    <t># of depressive episodes</t>
  </si>
  <si>
    <t>ssri?</t>
  </si>
  <si>
    <t>no</t>
  </si>
  <si>
    <t>yes</t>
  </si>
  <si>
    <t>#yes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</si>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</sst>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font>
      <sz val="11"/>
      <color theme="1"/>
      <name val="Calibri"/>
      <family val="2"/>
      <scheme val="minor"/>
    </font>
    <font>
      <sz val="11"/>
      <color rgb="FF000000"/>
      <name val="Calibri"/>
      <family val="2"/>
      <scheme val="minor"/>
    </font>
    <font>
      <sz val="11"/>
      <color theme="1"/>
      <name val="Calibri"/>
    </font>
    <font>
      <sz val="11"/>
      <color rgb="FF000000"/>
      <name val="Calibri"/>
    </font>
    <font>
      <sz val="11"/>
      <color rgb="FF000000"/>
      <name val="Calibri"/>
      <family val="2"/>
    </font>
    <font>
      <b/>
      <sz val="11"/>
      <color rgb="FF000000"/>
      <name val="Calibri"/>
      <family val="2"/>
    </font>
    <font>
      <b/>
      <sz val="9"/>
      <color indexed="81"/>
      <name val="Tahoma"/>
      <charset val="1"/>
    </font>
    <font>
      <sz val="9"/>
      <color indexed="81"/>
      <name val="Tahoma"/>
      <family val="2"/>
    </font>
    <font>
      <sz val="9"/>
      <color indexed="81"/>
      <name val="Tahoma"/>
      <charset val="1"/>
    </font>
    <font>
      <b/>
      <sz val="9"/>
      <color indexed="81"/>
      <name val="Tahoma"/>
      <family val="2"/>
    </font>
    <font>
      <sz val="9"/>
      <color theme="1"/>
      <name val="Times New Roman"/>
      <family val="1"/>
    </font>
    <font>
      <sz val="11"/>
      <color theme="1"/>
      <name val="Times New Roman"/>
      <family val="1"/>
    </font>
    <font>
      <sz val="9"/>
      <color rgb="FF000000"/>
      <name val="Times New Roman"/>
      <family val="1"/>
    </font>
  </fonts>
  <fills count="5">
    <fill>
      <patternFill patternType="none"/>
    </fill>
    <fill>
      <patternFill patternType="gray125"/>
    </fill>
    <fill>
      <patternFill patternType="solid">
        <fgColor rgb="FFFFFF00"/>
        <bgColor indexed="64"/>
      </patternFill>
    </fill>
    <fill>
      <patternFill patternType="solid">
        <fgColor rgb="FFFFFF00"/>
        <bgColor rgb="FF000000"/>
      </patternFill>
    </fill>
    <fill>
      <patternFill patternType="solid">
        <fgColor theme="9" tint="0.39997558519241921"/>
        <bgColor indexed="64"/>
      </patternFill>
    </fill>
  </fills>
  <borders count="35">
    <border>
      <left/>
      <right/>
      <top/>
      <bottom/>
      <diagonal/>
    </border>
    <border>
      <left/>
      <right/>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bottom/>
      <diagonal/>
    </border>
    <border>
      <left style="medium">
        <color indexed="64"/>
      </left>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thin">
        <color indexed="64"/>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style="medium">
        <color indexed="64"/>
      </left>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81">
    <xf numFmtId="0" fontId="0" fillId="0" borderId="0" xfId="0"/>
    <xf numFmtId="0" fontId="0" fillId="0" borderId="0" xfId="0" applyAlignment="1">
      <alignment horizontal="center" vertical="center"/>
    </xf>
    <xf numFmtId="0" fontId="0" fillId="0" borderId="2" xfId="0" applyBorder="1" applyAlignment="1">
      <alignment horizontal="center" vertical="center"/>
    </xf>
    <xf numFmtId="0" fontId="0" fillId="0" borderId="5" xfId="0" applyBorder="1" applyAlignment="1">
      <alignment horizontal="center" vertical="center"/>
    </xf>
    <xf numFmtId="0" fontId="3" fillId="0" borderId="4" xfId="0" applyFont="1" applyBorder="1" applyAlignment="1">
      <alignment horizontal="center" vertical="center" wrapText="1"/>
    </xf>
    <xf numFmtId="0" fontId="3" fillId="0" borderId="6" xfId="0" applyFont="1" applyBorder="1" applyAlignment="1">
      <alignment horizontal="center" vertical="center" wrapText="1"/>
    </xf>
    <xf numFmtId="0" fontId="4" fillId="0" borderId="0" xfId="0" applyFont="1" applyAlignment="1">
      <alignment horizontal="center" vertical="center"/>
    </xf>
    <xf numFmtId="0" fontId="0" fillId="2" borderId="0" xfId="0" applyFill="1" applyAlignment="1">
      <alignment horizontal="center" vertical="center"/>
    </xf>
    <xf numFmtId="0" fontId="0" fillId="2" borderId="2" xfId="0" applyFill="1" applyBorder="1" applyAlignment="1">
      <alignment horizontal="center" vertical="center"/>
    </xf>
    <xf numFmtId="0" fontId="4" fillId="2" borderId="0" xfId="0" applyFont="1" applyFill="1" applyAlignment="1">
      <alignment horizontal="center" vertical="center"/>
    </xf>
    <xf numFmtId="0" fontId="2" fillId="0" borderId="4" xfId="0" applyFont="1" applyBorder="1" applyAlignment="1">
      <alignment horizontal="center" vertical="center"/>
    </xf>
    <xf numFmtId="0" fontId="2" fillId="0" borderId="6" xfId="0" applyFont="1" applyBorder="1" applyAlignment="1">
      <alignment horizontal="center" vertical="center"/>
    </xf>
    <xf numFmtId="0" fontId="1" fillId="3" borderId="0" xfId="0" applyFont="1" applyFill="1" applyAlignment="1">
      <alignment horizontal="center" vertical="center"/>
    </xf>
    <xf numFmtId="0" fontId="1" fillId="3" borderId="2" xfId="0" applyFont="1" applyFill="1" applyBorder="1" applyAlignment="1">
      <alignment horizontal="center" vertical="center"/>
    </xf>
    <xf numFmtId="0" fontId="0" fillId="0" borderId="1" xfId="0" applyBorder="1" applyAlignment="1">
      <alignment horizontal="center" vertical="center" wrapText="1"/>
    </xf>
    <xf numFmtId="0" fontId="3" fillId="0" borderId="8" xfId="0" applyFont="1" applyBorder="1" applyAlignment="1">
      <alignment horizontal="center" vertical="center" wrapText="1"/>
    </xf>
    <xf numFmtId="0" fontId="3" fillId="0" borderId="3" xfId="0" applyFont="1" applyBorder="1" applyAlignment="1">
      <alignment horizontal="center" vertical="center" wrapText="1"/>
    </xf>
    <xf numFmtId="0" fontId="0" fillId="0" borderId="7" xfId="0" applyBorder="1" applyAlignment="1">
      <alignment horizontal="center" vertical="center"/>
    </xf>
    <xf numFmtId="0" fontId="0" fillId="0" borderId="7" xfId="0" applyBorder="1" applyAlignment="1">
      <alignment horizontal="center" vertical="center" wrapText="1"/>
    </xf>
    <xf numFmtId="0" fontId="4" fillId="0" borderId="7" xfId="0" applyFont="1" applyBorder="1" applyAlignment="1">
      <alignment horizontal="center" vertical="center" wrapText="1"/>
    </xf>
    <xf numFmtId="0" fontId="5" fillId="0" borderId="7" xfId="0" applyFont="1" applyBorder="1" applyAlignment="1">
      <alignment horizontal="center" vertical="center" wrapText="1"/>
    </xf>
    <xf numFmtId="0" fontId="0" fillId="4" borderId="7" xfId="0" applyFill="1"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4" fillId="0" borderId="11" xfId="0" applyFont="1" applyBorder="1" applyAlignment="1">
      <alignment horizontal="center" vertical="center" wrapText="1"/>
    </xf>
    <xf numFmtId="0" fontId="0" fillId="0" borderId="12" xfId="0" applyBorder="1" applyAlignment="1">
      <alignment horizontal="center" vertical="center"/>
    </xf>
    <xf numFmtId="0" fontId="0" fillId="2" borderId="12" xfId="0" applyFill="1" applyBorder="1" applyAlignment="1">
      <alignment horizontal="center" vertical="center"/>
    </xf>
    <xf numFmtId="0" fontId="1" fillId="3" borderId="12" xfId="0" applyFont="1" applyFill="1" applyBorder="1" applyAlignment="1">
      <alignment horizontal="center" vertical="center"/>
    </xf>
    <xf numFmtId="0" fontId="11" fillId="0" borderId="0" xfId="0" applyFont="1"/>
    <xf numFmtId="0" fontId="10" fillId="0" borderId="12" xfId="0" applyFont="1" applyBorder="1" applyAlignment="1">
      <alignment horizontal="center" vertical="center"/>
    </xf>
    <xf numFmtId="0" fontId="10" fillId="0" borderId="0" xfId="0" applyFont="1" applyAlignment="1">
      <alignment horizontal="center" vertical="center"/>
    </xf>
    <xf numFmtId="0" fontId="10" fillId="0" borderId="5" xfId="0" applyFont="1" applyBorder="1" applyAlignment="1">
      <alignment horizontal="center" vertical="center"/>
    </xf>
    <xf numFmtId="0" fontId="10" fillId="0" borderId="2" xfId="0" applyFont="1" applyBorder="1" applyAlignment="1">
      <alignment horizontal="center" vertical="center"/>
    </xf>
    <xf numFmtId="0" fontId="10" fillId="0" borderId="0" xfId="0" applyFont="1"/>
    <xf numFmtId="164" fontId="10" fillId="0" borderId="27" xfId="0" applyNumberFormat="1" applyFont="1" applyBorder="1" applyAlignment="1">
      <alignment horizontal="center" vertical="center"/>
    </xf>
    <xf numFmtId="164" fontId="10" fillId="0" borderId="26" xfId="0" applyNumberFormat="1" applyFont="1" applyBorder="1" applyAlignment="1">
      <alignment horizontal="center" vertical="center" wrapText="1"/>
    </xf>
    <xf numFmtId="164" fontId="10" fillId="0" borderId="23" xfId="0" applyNumberFormat="1" applyFont="1" applyBorder="1" applyAlignment="1">
      <alignment horizontal="center" vertical="center" wrapText="1"/>
    </xf>
    <xf numFmtId="164" fontId="10" fillId="0" borderId="27" xfId="0" applyNumberFormat="1" applyFont="1" applyBorder="1" applyAlignment="1">
      <alignment horizontal="center" vertical="center" wrapText="1"/>
    </xf>
    <xf numFmtId="164" fontId="10" fillId="0" borderId="28" xfId="0" applyNumberFormat="1" applyFont="1" applyBorder="1" applyAlignment="1">
      <alignment horizontal="center" vertical="center" wrapText="1"/>
    </xf>
    <xf numFmtId="164" fontId="10" fillId="0" borderId="24" xfId="0" applyNumberFormat="1" applyFont="1" applyBorder="1" applyAlignment="1">
      <alignment horizontal="center" vertical="center" wrapText="1"/>
    </xf>
    <xf numFmtId="164" fontId="10" fillId="0" borderId="29" xfId="0" applyNumberFormat="1" applyFont="1" applyBorder="1" applyAlignment="1">
      <alignment horizontal="center" vertical="center"/>
    </xf>
    <xf numFmtId="164" fontId="12" fillId="0" borderId="30" xfId="0" applyNumberFormat="1" applyFont="1" applyBorder="1" applyAlignment="1">
      <alignment horizontal="center" vertical="center" wrapText="1"/>
    </xf>
    <xf numFmtId="164" fontId="12" fillId="0" borderId="31" xfId="0" applyNumberFormat="1" applyFont="1" applyBorder="1" applyAlignment="1">
      <alignment horizontal="center" vertical="center" wrapText="1"/>
    </xf>
    <xf numFmtId="164" fontId="10" fillId="0" borderId="23" xfId="0" applyNumberFormat="1" applyFont="1" applyBorder="1" applyAlignment="1">
      <alignment horizontal="center" vertical="center"/>
    </xf>
    <xf numFmtId="164" fontId="10" fillId="0" borderId="28" xfId="0" applyNumberFormat="1" applyFont="1" applyBorder="1" applyAlignment="1">
      <alignment horizontal="center" vertical="center"/>
    </xf>
    <xf numFmtId="164" fontId="10" fillId="0" borderId="24" xfId="0" applyNumberFormat="1" applyFont="1" applyBorder="1" applyAlignment="1">
      <alignment horizontal="center" vertical="center"/>
    </xf>
    <xf numFmtId="164" fontId="10" fillId="0" borderId="14" xfId="0" applyNumberFormat="1" applyFont="1" applyBorder="1" applyAlignment="1">
      <alignment horizontal="center" vertical="center"/>
    </xf>
    <xf numFmtId="164" fontId="12" fillId="0" borderId="4" xfId="0" applyNumberFormat="1" applyFont="1" applyBorder="1" applyAlignment="1">
      <alignment horizontal="center" vertical="center" wrapText="1"/>
    </xf>
    <xf numFmtId="164" fontId="12" fillId="0" borderId="6" xfId="0" applyNumberFormat="1" applyFont="1" applyBorder="1" applyAlignment="1">
      <alignment horizontal="center" vertical="center" wrapText="1"/>
    </xf>
    <xf numFmtId="164" fontId="10" fillId="0" borderId="12" xfId="0" applyNumberFormat="1" applyFont="1" applyBorder="1" applyAlignment="1">
      <alignment horizontal="center" vertical="center"/>
    </xf>
    <xf numFmtId="164" fontId="10" fillId="0" borderId="0" xfId="0" applyNumberFormat="1" applyFont="1" applyAlignment="1">
      <alignment horizontal="center" vertical="center"/>
    </xf>
    <xf numFmtId="164" fontId="10" fillId="0" borderId="5" xfId="0" applyNumberFormat="1" applyFont="1" applyBorder="1" applyAlignment="1">
      <alignment horizontal="center" vertical="center"/>
    </xf>
    <xf numFmtId="164" fontId="10" fillId="0" borderId="15" xfId="0" applyNumberFormat="1" applyFont="1" applyBorder="1" applyAlignment="1">
      <alignment horizontal="center" vertical="center"/>
    </xf>
    <xf numFmtId="164" fontId="10" fillId="0" borderId="4" xfId="0" applyNumberFormat="1" applyFont="1" applyBorder="1" applyAlignment="1">
      <alignment horizontal="center" vertical="center"/>
    </xf>
    <xf numFmtId="164" fontId="10" fillId="0" borderId="6" xfId="0" applyNumberFormat="1" applyFont="1" applyBorder="1" applyAlignment="1">
      <alignment horizontal="center" vertical="center"/>
    </xf>
    <xf numFmtId="164" fontId="12" fillId="0" borderId="14" xfId="0" applyNumberFormat="1" applyFont="1" applyBorder="1" applyAlignment="1">
      <alignment horizontal="center" vertical="center"/>
    </xf>
    <xf numFmtId="164" fontId="10" fillId="0" borderId="16" xfId="0" applyNumberFormat="1" applyFont="1" applyBorder="1" applyAlignment="1">
      <alignment horizontal="center" vertical="center"/>
    </xf>
    <xf numFmtId="164" fontId="12" fillId="0" borderId="17" xfId="0" applyNumberFormat="1" applyFont="1" applyBorder="1" applyAlignment="1">
      <alignment horizontal="center" vertical="center" wrapText="1"/>
    </xf>
    <xf numFmtId="164" fontId="12" fillId="0" borderId="18" xfId="0" applyNumberFormat="1" applyFont="1" applyBorder="1" applyAlignment="1">
      <alignment horizontal="center" vertical="center" wrapText="1"/>
    </xf>
    <xf numFmtId="164" fontId="10" fillId="0" borderId="19" xfId="0" applyNumberFormat="1" applyFont="1" applyBorder="1" applyAlignment="1">
      <alignment horizontal="center" vertical="center"/>
    </xf>
    <xf numFmtId="164" fontId="10" fillId="0" borderId="20" xfId="0" applyNumberFormat="1" applyFont="1" applyBorder="1" applyAlignment="1">
      <alignment horizontal="center" vertical="center"/>
    </xf>
    <xf numFmtId="164" fontId="10" fillId="0" borderId="21" xfId="0" applyNumberFormat="1" applyFont="1" applyBorder="1" applyAlignment="1">
      <alignment horizontal="center" vertical="center"/>
    </xf>
    <xf numFmtId="164" fontId="10" fillId="0" borderId="22" xfId="0" applyNumberFormat="1" applyFont="1" applyBorder="1" applyAlignment="1">
      <alignment horizontal="center" vertical="center"/>
    </xf>
    <xf numFmtId="0" fontId="10" fillId="0" borderId="13" xfId="0" applyFont="1" applyBorder="1" applyAlignment="1">
      <alignment horizontal="center" vertical="center"/>
    </xf>
    <xf numFmtId="0" fontId="10" fillId="0" borderId="25" xfId="0" applyFont="1" applyBorder="1" applyAlignment="1">
      <alignment horizontal="center" vertical="center" wrapText="1"/>
    </xf>
    <xf numFmtId="0" fontId="10" fillId="0" borderId="29" xfId="0" applyFont="1" applyBorder="1" applyAlignment="1">
      <alignment horizontal="center" vertical="center"/>
    </xf>
    <xf numFmtId="0" fontId="10" fillId="0" borderId="14" xfId="0" applyFont="1" applyBorder="1" applyAlignment="1">
      <alignment horizontal="center" vertical="center"/>
    </xf>
    <xf numFmtId="0" fontId="12" fillId="0" borderId="14" xfId="0" applyFont="1" applyBorder="1" applyAlignment="1">
      <alignment horizontal="center" vertical="center"/>
    </xf>
    <xf numFmtId="0" fontId="10" fillId="0" borderId="16" xfId="0" applyFont="1" applyBorder="1" applyAlignment="1">
      <alignment horizontal="center" vertical="center"/>
    </xf>
    <xf numFmtId="0" fontId="10" fillId="0" borderId="23" xfId="0" applyFont="1" applyBorder="1" applyAlignment="1">
      <alignment horizontal="center" vertical="center" wrapText="1"/>
    </xf>
    <xf numFmtId="0" fontId="10" fillId="0" borderId="23" xfId="0" applyFont="1" applyBorder="1" applyAlignment="1">
      <alignment horizontal="center" vertical="center"/>
    </xf>
    <xf numFmtId="0" fontId="12" fillId="0" borderId="12" xfId="0" applyFont="1" applyBorder="1" applyAlignment="1">
      <alignment horizontal="center" vertical="center"/>
    </xf>
    <xf numFmtId="0" fontId="10" fillId="0" borderId="19" xfId="0" applyFont="1" applyBorder="1" applyAlignment="1">
      <alignment horizontal="center" vertical="center"/>
    </xf>
    <xf numFmtId="164" fontId="10" fillId="0" borderId="32" xfId="0" applyNumberFormat="1" applyFont="1" applyBorder="1" applyAlignment="1">
      <alignment horizontal="center" vertical="center"/>
    </xf>
    <xf numFmtId="164" fontId="10" fillId="0" borderId="34" xfId="0" applyNumberFormat="1" applyFont="1" applyBorder="1" applyAlignment="1">
      <alignment horizontal="center" vertical="center"/>
    </xf>
    <xf numFmtId="0" fontId="10" fillId="0" borderId="32" xfId="0" applyFont="1" applyBorder="1" applyAlignment="1">
      <alignment horizontal="center" vertical="center"/>
    </xf>
    <xf numFmtId="0" fontId="10" fillId="0" borderId="33" xfId="0" applyFont="1" applyBorder="1" applyAlignment="1">
      <alignment horizontal="center" vertical="center"/>
    </xf>
    <xf numFmtId="0" fontId="10" fillId="0" borderId="34" xfId="0" applyFont="1" applyBorder="1" applyAlignment="1">
      <alignment horizontal="center" vertical="center"/>
    </xf>
    <xf numFmtId="164" fontId="10" fillId="0" borderId="33" xfId="0" applyNumberFormat="1" applyFont="1" applyBorder="1" applyAlignment="1">
      <alignment horizontal="center" vertical="center"/>
    </xf>
    <xf numFmtId="0" fontId="0" fillId="0" borderId="7" xfId="0"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externalLink" Target="externalLinks/externalLink1.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customXml" Target="../customXml/item1.xml"/><Relationship Id="rId5" Type="http://schemas.openxmlformats.org/officeDocument/2006/relationships/externalLink" Target="externalLinks/externalLink3.xml"/><Relationship Id="rId10" Type="http://schemas.openxmlformats.org/officeDocument/2006/relationships/calcChain" Target="calcChain.xml"/><Relationship Id="rId4" Type="http://schemas.openxmlformats.org/officeDocument/2006/relationships/externalLink" Target="externalLinks/externalLink2.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pennstateoffice365.sharepoint.com/sites/b-geierlab/Shared%20Documents/Box%20Migration%20Data/b-geierlab%20Shared/Anhedonia/Participants/AIM%20database%20for%20Grad%20Students%202.22.23_v2.xlsx" TargetMode="External"/><Relationship Id="rId1" Type="http://schemas.openxmlformats.org/officeDocument/2006/relationships/externalLinkPath" Target="/sites/b-geierlab/Shared%20Documents/Box%20Migration%20Data/b-geierlab%20Shared/Anhedonia/Participants/AIM%20database%20for%20Grad%20Students%202.22.23_v2.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pennstateoffice365.sharepoint.com/sites/b-geierlab/Shared%20Documents/Box%20Migration%20Data/b-geierlab%20Shared/Anhedonia/Participants/KM_45%20participants.xlsx" TargetMode="External"/><Relationship Id="rId1" Type="http://schemas.openxmlformats.org/officeDocument/2006/relationships/externalLinkPath" Target="/sites/b-geierlab/Shared%20Documents/Box%20Migration%20Data/b-geierlab%20Shared/Anhedonia/Participants/KM_45%20participant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pennstateoffice365.sharepoint.com/sites/b-geierlab/Shared%20Documents/Box%20Migration%20Data/b-geierlab%20Shared/Anhedonia/Cleaning&amp;Analysis/SummaryTables/fc_indiv.xlsx" TargetMode="External"/><Relationship Id="rId1" Type="http://schemas.openxmlformats.org/officeDocument/2006/relationships/externalLinkPath" Target="SummaryTables/fc_indiv.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pennstateoffice365.sharepoint.com/sites/b-geierlab/Shared%20Documents/Box%20Migration%20Data/b-geierlab%20Shared/Anhedonia/Cleaning&amp;Analysis/SummaryTables/ind_metrics.xlsx" TargetMode="External"/><Relationship Id="rId1" Type="http://schemas.openxmlformats.org/officeDocument/2006/relationships/externalLinkPath" Target="SummaryTables/ind_metric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q9IjuOCxJUaRlXKbl0LU_Ph5I_EfAHhFnZ_Xu1nb5fK_2vcCipt6Tr0lFZ4w44X0" itemId="01LPTIXLQWBS4GDPVBPZBJ5FFODXL6ZEYT">
      <xxl21:absoluteUrl r:id="rId2"/>
    </xxl21:alternateUrls>
    <sheetNames>
      <sheetName val="AIM database for Grad Students "/>
      <sheetName val="Sheet1"/>
      <sheetName val="Sheet2"/>
      <sheetName val="Sheet3"/>
      <sheetName val="Sheet4"/>
      <sheetName val="Sheet5"/>
      <sheetName val="Sheet6"/>
      <sheetName val="Sheet7"/>
    </sheetNames>
    <sheetDataSet>
      <sheetData sheetId="0">
        <row r="1">
          <cell r="A1" t="str">
            <v>Participant_ID</v>
          </cell>
          <cell r="B1" t="str">
            <v>Group</v>
          </cell>
          <cell r="C1" t="str">
            <v>age</v>
          </cell>
          <cell r="D1" t="str">
            <v>gender</v>
          </cell>
          <cell r="E1" t="str">
            <v>gender_other</v>
          </cell>
          <cell r="F1" t="str">
            <v>marital_status</v>
          </cell>
          <cell r="G1" t="str">
            <v>kids</v>
          </cell>
          <cell r="H1" t="str">
            <v>kids_number</v>
          </cell>
          <cell r="I1" t="str">
            <v>occupation</v>
          </cell>
          <cell r="J1" t="str">
            <v>occupation_specific</v>
          </cell>
          <cell r="K1" t="str">
            <v>ethnicity</v>
          </cell>
          <cell r="L1" t="str">
            <v>race</v>
          </cell>
          <cell r="M1" t="str">
            <v>multiple_races</v>
          </cell>
          <cell r="N1" t="str">
            <v>demo_height</v>
          </cell>
          <cell r="O1" t="str">
            <v>demo_weight</v>
          </cell>
          <cell r="P1" t="str">
            <v>med_notes</v>
          </cell>
          <cell r="Q1" t="str">
            <v>lmp</v>
          </cell>
          <cell r="R1" t="str">
            <v>regular_period</v>
          </cell>
          <cell r="S1" t="str">
            <v>irregular_reason</v>
          </cell>
          <cell r="T1" t="str">
            <v>smoke</v>
          </cell>
          <cell r="U1" t="str">
            <v>cigarettes</v>
          </cell>
          <cell r="V1" t="str">
            <v>pack_years</v>
          </cell>
          <cell r="W1" t="str">
            <v>psychologist_history___0</v>
          </cell>
          <cell r="X1" t="str">
            <v>psychologist_history___1</v>
          </cell>
          <cell r="Y1" t="str">
            <v>psychologist_history___2</v>
          </cell>
          <cell r="Z1" t="str">
            <v>psychologist_history___3</v>
          </cell>
          <cell r="AA1" t="str">
            <v>psychologist_history___4</v>
          </cell>
          <cell r="AB1" t="str">
            <v>psychologist_history___5</v>
          </cell>
          <cell r="AC1" t="str">
            <v>psychologist_history___6</v>
          </cell>
          <cell r="AD1" t="str">
            <v>psychologist_history___7</v>
          </cell>
          <cell r="AE1" t="str">
            <v>psychologist_history___8</v>
          </cell>
          <cell r="AF1" t="str">
            <v>psychologist_history___9</v>
          </cell>
          <cell r="AG1" t="str">
            <v>psychologist_history___10</v>
          </cell>
          <cell r="AH1" t="str">
            <v>psychologist_history___11</v>
          </cell>
          <cell r="AI1" t="str">
            <v>psychologist_history___12</v>
          </cell>
          <cell r="AJ1" t="str">
            <v>psychologist_history___13</v>
          </cell>
          <cell r="AK1" t="str">
            <v>psychologist_history___14</v>
          </cell>
          <cell r="AL1" t="str">
            <v>psychologist_history___15</v>
          </cell>
          <cell r="AM1" t="str">
            <v>psychologist_history___16</v>
          </cell>
          <cell r="AN1" t="str">
            <v>psychologist_history___17</v>
          </cell>
          <cell r="AO1" t="str">
            <v>psychologist_history___18</v>
          </cell>
          <cell r="AP1" t="str">
            <v>psychologist_history___19</v>
          </cell>
          <cell r="AQ1" t="str">
            <v>other_psych_history</v>
          </cell>
          <cell r="AR1" t="str">
            <v>services___0</v>
          </cell>
          <cell r="AS1" t="str">
            <v>services___1</v>
          </cell>
          <cell r="AT1" t="str">
            <v>services___2</v>
          </cell>
          <cell r="AU1" t="str">
            <v>services___3</v>
          </cell>
          <cell r="AV1" t="str">
            <v>past_services___0</v>
          </cell>
          <cell r="AW1" t="str">
            <v>past_services___1</v>
          </cell>
          <cell r="AX1" t="str">
            <v>past_services___2</v>
          </cell>
          <cell r="AY1" t="str">
            <v>past_services___3</v>
          </cell>
          <cell r="AZ1" t="str">
            <v>madrs_score</v>
          </cell>
          <cell r="BA1" t="str">
            <v>ipaq_ss_vday</v>
          </cell>
          <cell r="BB1" t="str">
            <v>ipaq_ss_vdhrs</v>
          </cell>
          <cell r="BC1" t="str">
            <v>ipaq_ss_vdmin</v>
          </cell>
          <cell r="BD1" t="str">
            <v>ipaq_ss_mday</v>
          </cell>
          <cell r="BE1" t="str">
            <v>ipaq_ss_mdhrs</v>
          </cell>
          <cell r="BF1" t="str">
            <v>ipaq_ss_mdmin</v>
          </cell>
          <cell r="BG1" t="str">
            <v>ipaq_ss_wday</v>
          </cell>
          <cell r="BH1" t="str">
            <v>ipaq_ss_wdhrs</v>
          </cell>
          <cell r="BI1" t="str">
            <v>ipaq_ss_wdmin</v>
          </cell>
          <cell r="BJ1" t="str">
            <v>ipaq_ss_sdhrs</v>
          </cell>
          <cell r="BK1" t="str">
            <v>ipaq_ss_sdmin</v>
          </cell>
          <cell r="BL1" t="str">
            <v>ipaq_ss_stotalinmin</v>
          </cell>
          <cell r="BM1" t="str">
            <v>WalkingMETperweek</v>
          </cell>
          <cell r="BN1" t="str">
            <v>ModerateMETperweek</v>
          </cell>
          <cell r="BO1" t="str">
            <v>VigorousMETperweek</v>
          </cell>
          <cell r="BP1" t="str">
            <v>TotalMET</v>
          </cell>
          <cell r="BQ1" t="str">
            <v>Category</v>
          </cell>
          <cell r="BR1" t="str">
            <v>person_around_sc</v>
          </cell>
          <cell r="BS1" t="str">
            <v>person_share_sc</v>
          </cell>
          <cell r="BT1" t="str">
            <v>family_helps_sc</v>
          </cell>
          <cell r="BU1" t="str">
            <v>family_emotional_sc</v>
          </cell>
          <cell r="BV1" t="str">
            <v>person_comfort_sc</v>
          </cell>
          <cell r="BW1" t="str">
            <v>friends_help_sc</v>
          </cell>
          <cell r="BX1" t="str">
            <v>friends_count_on_sc</v>
          </cell>
          <cell r="BY1" t="str">
            <v>family_talk_sc</v>
          </cell>
          <cell r="BZ1" t="str">
            <v>friends_share_sc</v>
          </cell>
          <cell r="CA1" t="str">
            <v>person_cares_sc</v>
          </cell>
          <cell r="CB1" t="str">
            <v>family_decisions_sc</v>
          </cell>
          <cell r="CC1" t="str">
            <v>friends_talk_sc</v>
          </cell>
          <cell r="CD1" t="str">
            <v>sigother_subscale_sc</v>
          </cell>
          <cell r="CE1" t="str">
            <v>family_subscale_sc</v>
          </cell>
          <cell r="CF1" t="str">
            <v>friends_subscale_sc</v>
          </cell>
          <cell r="CG1" t="str">
            <v>total_scale_sc</v>
          </cell>
          <cell r="CH1" t="str">
            <v>savored</v>
          </cell>
          <cell r="CI1" t="str">
            <v>energy</v>
          </cell>
          <cell r="CJ1" t="str">
            <v>delighted</v>
          </cell>
          <cell r="CK1" t="str">
            <v>spend_time</v>
          </cell>
          <cell r="CL1" t="str">
            <v>throughout_week</v>
          </cell>
          <cell r="CM1" t="str">
            <v>felt_good</v>
          </cell>
          <cell r="CN1" t="str">
            <v>expected</v>
          </cell>
          <cell r="CO1" t="str">
            <v>feedback</v>
          </cell>
          <cell r="CP1" t="str">
            <v>meals</v>
          </cell>
          <cell r="CQ1" t="str">
            <v>rest_of_day</v>
          </cell>
          <cell r="CR1" t="str">
            <v>time_with_others</v>
          </cell>
          <cell r="CS1" t="str">
            <v>accomplish_goals</v>
          </cell>
          <cell r="CT1" t="str">
            <v>hugged</v>
          </cell>
          <cell r="CU1" t="str">
            <v>participate</v>
          </cell>
          <cell r="CV1" t="str">
            <v>worked_hard</v>
          </cell>
          <cell r="CW1" t="str">
            <v>upcoming_meal</v>
          </cell>
          <cell r="CX1" t="str">
            <v>felt_pleased</v>
          </cell>
          <cell r="CY1" t="str">
            <v>even_after</v>
          </cell>
          <cell r="CZ1" t="str">
            <v>master_tasks</v>
          </cell>
          <cell r="DA1" t="str">
            <v>actively_pursued</v>
          </cell>
          <cell r="DB1" t="str">
            <v>admire_beauty</v>
          </cell>
          <cell r="DC1" t="str">
            <v>pvss21_total</v>
          </cell>
          <cell r="DD1" t="str">
            <v>pvss21_reward_food</v>
          </cell>
          <cell r="DE1" t="str">
            <v>pvss21_reward_phystouch</v>
          </cell>
          <cell r="DF1" t="str">
            <v>pvss21_reward_out</v>
          </cell>
          <cell r="DG1" t="str">
            <v>pvss21_reward_posfeedback</v>
          </cell>
          <cell r="DH1" t="str">
            <v>pvss21_reward_hobbies</v>
          </cell>
          <cell r="DI1" t="str">
            <v>pvss21_reward_socint</v>
          </cell>
          <cell r="DJ1" t="str">
            <v>pvss21_reward_goals</v>
          </cell>
          <cell r="DK1" t="str">
            <v>pvss21_reward_valuation</v>
          </cell>
          <cell r="DL1" t="str">
            <v>pvss21_reward_expectancy</v>
          </cell>
          <cell r="DM1" t="str">
            <v>pvss21_effort_valuation</v>
          </cell>
          <cell r="DN1" t="str">
            <v>pvss21_reward_anticipation</v>
          </cell>
          <cell r="DO1" t="str">
            <v>pvss21_initial_responsiveness</v>
          </cell>
          <cell r="DP1" t="str">
            <v>pvss21_reward_satitaion</v>
          </cell>
          <cell r="DQ1" t="str">
            <v>dass21_1</v>
          </cell>
          <cell r="DR1" t="str">
            <v>dass21_2</v>
          </cell>
          <cell r="DS1" t="str">
            <v>dass21_3</v>
          </cell>
          <cell r="DT1" t="str">
            <v>dass21_4</v>
          </cell>
          <cell r="DU1" t="str">
            <v>dass21_5</v>
          </cell>
          <cell r="DV1" t="str">
            <v>dass21_6</v>
          </cell>
          <cell r="DW1" t="str">
            <v>dass21_7</v>
          </cell>
          <cell r="DX1" t="str">
            <v>dass21_8</v>
          </cell>
          <cell r="DY1" t="str">
            <v>dass21_9</v>
          </cell>
          <cell r="DZ1" t="str">
            <v>dass21_10</v>
          </cell>
          <cell r="EA1" t="str">
            <v>dass21_11</v>
          </cell>
          <cell r="EB1" t="str">
            <v>dass21_12</v>
          </cell>
          <cell r="EC1" t="str">
            <v>dass21_13</v>
          </cell>
          <cell r="ED1" t="str">
            <v>dass21_14</v>
          </cell>
          <cell r="EE1" t="str">
            <v>dass21_15</v>
          </cell>
          <cell r="EF1" t="str">
            <v>dass21_16</v>
          </cell>
          <cell r="EG1" t="str">
            <v>dass21_17</v>
          </cell>
          <cell r="EH1" t="str">
            <v>dass21_18</v>
          </cell>
          <cell r="EI1" t="str">
            <v>dass21_19</v>
          </cell>
          <cell r="EJ1" t="str">
            <v>dass21_20</v>
          </cell>
          <cell r="EK1" t="str">
            <v>dass21_21</v>
          </cell>
          <cell r="EL1" t="str">
            <v>dassanx_total</v>
          </cell>
          <cell r="EM1" t="str">
            <v>dassdep_total</v>
          </cell>
          <cell r="EN1" t="str">
            <v>dassstress_total</v>
          </cell>
          <cell r="EO1" t="str">
            <v>dass_global</v>
          </cell>
          <cell r="EP1" t="str">
            <v>lec_01</v>
          </cell>
          <cell r="EQ1" t="str">
            <v>lec_02</v>
          </cell>
          <cell r="ER1" t="str">
            <v>lec_03</v>
          </cell>
          <cell r="ES1" t="str">
            <v>lec_04</v>
          </cell>
          <cell r="ET1" t="str">
            <v>lec_05</v>
          </cell>
          <cell r="EU1" t="str">
            <v>lec_06</v>
          </cell>
          <cell r="EV1" t="str">
            <v>lec_07</v>
          </cell>
          <cell r="EW1" t="str">
            <v>lec_08</v>
          </cell>
          <cell r="EX1" t="str">
            <v>lec_09</v>
          </cell>
          <cell r="EY1" t="str">
            <v>lec_10</v>
          </cell>
          <cell r="EZ1" t="str">
            <v>lec_11</v>
          </cell>
          <cell r="FA1" t="str">
            <v>lec_12</v>
          </cell>
          <cell r="FB1" t="str">
            <v>lec_13</v>
          </cell>
          <cell r="FC1" t="str">
            <v>lec_14</v>
          </cell>
          <cell r="FD1" t="str">
            <v>lec_15</v>
          </cell>
          <cell r="FE1" t="str">
            <v>lec_16</v>
          </cell>
          <cell r="FF1" t="str">
            <v>lec_17</v>
          </cell>
          <cell r="FG1" t="str">
            <v>lec_total</v>
          </cell>
          <cell r="FH1" t="str">
            <v>shaps_1</v>
          </cell>
          <cell r="FI1" t="str">
            <v>shaps_1_reverseA</v>
          </cell>
          <cell r="FJ1" t="str">
            <v>shaps_2</v>
          </cell>
          <cell r="FK1" t="str">
            <v>shaps_3</v>
          </cell>
          <cell r="FL1" t="str">
            <v>shaps3_reverseA</v>
          </cell>
          <cell r="FM1" t="str">
            <v>shaps_4</v>
          </cell>
          <cell r="FN1" t="str">
            <v>shaps_5</v>
          </cell>
          <cell r="FO1" t="str">
            <v>shaps_6</v>
          </cell>
          <cell r="FP1" t="str">
            <v>shaps6_reverseA</v>
          </cell>
          <cell r="FQ1" t="str">
            <v>shaps_7</v>
          </cell>
          <cell r="FR1" t="str">
            <v>shaps_8</v>
          </cell>
          <cell r="FS1" t="str">
            <v>shaps8_reverseA</v>
          </cell>
          <cell r="FT1" t="str">
            <v>shaps_9</v>
          </cell>
          <cell r="FU1" t="str">
            <v>shaps_10</v>
          </cell>
          <cell r="FV1" t="str">
            <v>shaps10_reverseA</v>
          </cell>
          <cell r="FW1" t="str">
            <v>shaps_11</v>
          </cell>
          <cell r="FX1" t="str">
            <v>shaps11_reverseA</v>
          </cell>
          <cell r="FY1" t="str">
            <v>shaps_12</v>
          </cell>
          <cell r="FZ1" t="str">
            <v>shaps_13</v>
          </cell>
          <cell r="GA1" t="str">
            <v>shaps13_reverseA</v>
          </cell>
          <cell r="GB1" t="str">
            <v>shaps_14</v>
          </cell>
          <cell r="GC1" t="str">
            <v>shaps_Ascore</v>
          </cell>
        </row>
        <row r="2">
          <cell r="A2">
            <v>801</v>
          </cell>
          <cell r="B2">
            <v>1</v>
          </cell>
          <cell r="C2">
            <v>29</v>
          </cell>
          <cell r="D2">
            <v>0</v>
          </cell>
          <cell r="E2" t="str">
            <v xml:space="preserve"> </v>
          </cell>
          <cell r="F2">
            <v>5</v>
          </cell>
          <cell r="G2">
            <v>0</v>
          </cell>
          <cell r="H2" t="str">
            <v xml:space="preserve"> </v>
          </cell>
          <cell r="I2">
            <v>2</v>
          </cell>
          <cell r="J2" t="str">
            <v>Clinical Research Coordinator</v>
          </cell>
          <cell r="K2">
            <v>2</v>
          </cell>
          <cell r="L2">
            <v>2</v>
          </cell>
          <cell r="M2" t="str">
            <v xml:space="preserve"> </v>
          </cell>
          <cell r="N2" t="str">
            <v>5'7"</v>
          </cell>
          <cell r="O2">
            <v>245</v>
          </cell>
          <cell r="P2" t="str">
            <v xml:space="preserve"> </v>
          </cell>
          <cell r="Q2" t="str">
            <v xml:space="preserve"> </v>
          </cell>
          <cell r="R2">
            <v>0</v>
          </cell>
          <cell r="S2" t="str">
            <v xml:space="preserve"> </v>
          </cell>
          <cell r="T2">
            <v>0</v>
          </cell>
          <cell r="U2" t="str">
            <v xml:space="preserve"> </v>
          </cell>
          <cell r="V2" t="str">
            <v xml:space="preserve"> </v>
          </cell>
          <cell r="W2">
            <v>0</v>
          </cell>
          <cell r="X2">
            <v>0</v>
          </cell>
          <cell r="Y2">
            <v>0</v>
          </cell>
          <cell r="Z2">
            <v>0</v>
          </cell>
          <cell r="AA2">
            <v>0</v>
          </cell>
          <cell r="AB2">
            <v>0</v>
          </cell>
          <cell r="AC2">
            <v>0</v>
          </cell>
          <cell r="AD2">
            <v>1</v>
          </cell>
          <cell r="AE2">
            <v>1</v>
          </cell>
          <cell r="AF2">
            <v>0</v>
          </cell>
          <cell r="AG2">
            <v>0</v>
          </cell>
          <cell r="AH2">
            <v>0</v>
          </cell>
          <cell r="AI2">
            <v>0</v>
          </cell>
          <cell r="AJ2">
            <v>0</v>
          </cell>
          <cell r="AK2">
            <v>0</v>
          </cell>
          <cell r="AL2">
            <v>0</v>
          </cell>
          <cell r="AM2">
            <v>0</v>
          </cell>
          <cell r="AN2">
            <v>0</v>
          </cell>
          <cell r="AO2">
            <v>0</v>
          </cell>
          <cell r="AP2">
            <v>0</v>
          </cell>
          <cell r="AQ2" t="str">
            <v xml:space="preserve"> </v>
          </cell>
          <cell r="AR2">
            <v>0</v>
          </cell>
          <cell r="AS2">
            <v>0</v>
          </cell>
          <cell r="AT2">
            <v>0</v>
          </cell>
          <cell r="AU2">
            <v>0</v>
          </cell>
          <cell r="AV2">
            <v>0</v>
          </cell>
          <cell r="AW2">
            <v>1</v>
          </cell>
          <cell r="AX2">
            <v>1</v>
          </cell>
          <cell r="AY2">
            <v>0</v>
          </cell>
          <cell r="AZ2">
            <v>15</v>
          </cell>
          <cell r="BA2">
            <v>4</v>
          </cell>
          <cell r="BB2">
            <v>1</v>
          </cell>
          <cell r="BC2" t="str">
            <v xml:space="preserve"> </v>
          </cell>
          <cell r="BD2">
            <v>5</v>
          </cell>
          <cell r="BE2" t="str">
            <v xml:space="preserve"> </v>
          </cell>
          <cell r="BF2">
            <v>45</v>
          </cell>
          <cell r="BG2">
            <v>7</v>
          </cell>
          <cell r="BH2">
            <v>2</v>
          </cell>
          <cell r="BI2" t="str">
            <v xml:space="preserve"> </v>
          </cell>
          <cell r="BJ2">
            <v>5</v>
          </cell>
          <cell r="BK2" t="str">
            <v xml:space="preserve"> </v>
          </cell>
          <cell r="BL2">
            <v>300</v>
          </cell>
          <cell r="BM2">
            <v>2772</v>
          </cell>
          <cell r="BN2">
            <v>900</v>
          </cell>
          <cell r="BO2">
            <v>1920</v>
          </cell>
          <cell r="BP2">
            <v>5592</v>
          </cell>
          <cell r="BQ2">
            <v>3</v>
          </cell>
          <cell r="BR2">
            <v>1</v>
          </cell>
          <cell r="BS2">
            <v>1</v>
          </cell>
          <cell r="BT2">
            <v>6</v>
          </cell>
          <cell r="BU2">
            <v>5</v>
          </cell>
          <cell r="BV2">
            <v>1</v>
          </cell>
          <cell r="BW2">
            <v>6</v>
          </cell>
          <cell r="BX2">
            <v>6</v>
          </cell>
          <cell r="BY2">
            <v>5</v>
          </cell>
          <cell r="BZ2">
            <v>7</v>
          </cell>
          <cell r="CA2">
            <v>1</v>
          </cell>
          <cell r="CB2">
            <v>5</v>
          </cell>
          <cell r="CC2">
            <v>6</v>
          </cell>
          <cell r="CD2">
            <v>1</v>
          </cell>
          <cell r="CE2">
            <v>5.25</v>
          </cell>
          <cell r="CF2">
            <v>6.25</v>
          </cell>
          <cell r="CG2">
            <v>4.1666666670000003</v>
          </cell>
          <cell r="CH2">
            <v>8</v>
          </cell>
          <cell r="CI2">
            <v>7</v>
          </cell>
          <cell r="CJ2">
            <v>3</v>
          </cell>
          <cell r="CK2">
            <v>8</v>
          </cell>
          <cell r="CL2">
            <v>2</v>
          </cell>
          <cell r="CM2">
            <v>6</v>
          </cell>
          <cell r="CN2">
            <v>2</v>
          </cell>
          <cell r="CO2">
            <v>3</v>
          </cell>
          <cell r="CP2">
            <v>7</v>
          </cell>
          <cell r="CQ2">
            <v>7</v>
          </cell>
          <cell r="CR2">
            <v>4</v>
          </cell>
          <cell r="CS2">
            <v>7</v>
          </cell>
          <cell r="CT2">
            <v>7</v>
          </cell>
          <cell r="CU2">
            <v>8</v>
          </cell>
          <cell r="CV2">
            <v>8</v>
          </cell>
          <cell r="CW2">
            <v>6</v>
          </cell>
          <cell r="CX2">
            <v>7</v>
          </cell>
          <cell r="CY2">
            <v>8</v>
          </cell>
          <cell r="CZ2">
            <v>8</v>
          </cell>
          <cell r="DA2">
            <v>4</v>
          </cell>
          <cell r="DB2">
            <v>4</v>
          </cell>
          <cell r="DC2">
            <v>124</v>
          </cell>
          <cell r="DD2">
            <v>21</v>
          </cell>
          <cell r="DE2">
            <v>21</v>
          </cell>
          <cell r="DF2">
            <v>9</v>
          </cell>
          <cell r="DG2">
            <v>18</v>
          </cell>
          <cell r="DH2">
            <v>13</v>
          </cell>
          <cell r="DI2">
            <v>20</v>
          </cell>
          <cell r="DJ2">
            <v>22</v>
          </cell>
          <cell r="DK2">
            <v>23</v>
          </cell>
          <cell r="DL2">
            <v>24</v>
          </cell>
          <cell r="DM2">
            <v>17</v>
          </cell>
          <cell r="DN2">
            <v>13</v>
          </cell>
          <cell r="DO2">
            <v>24</v>
          </cell>
          <cell r="DP2">
            <v>17</v>
          </cell>
          <cell r="DQ2">
            <v>3</v>
          </cell>
          <cell r="DR2">
            <v>1</v>
          </cell>
          <cell r="DS2">
            <v>0</v>
          </cell>
          <cell r="DT2">
            <v>1</v>
          </cell>
          <cell r="DU2">
            <v>1</v>
          </cell>
          <cell r="DV2">
            <v>2</v>
          </cell>
          <cell r="DW2">
            <v>2</v>
          </cell>
          <cell r="DX2">
            <v>3</v>
          </cell>
          <cell r="DY2">
            <v>2</v>
          </cell>
          <cell r="DZ2">
            <v>1</v>
          </cell>
          <cell r="EA2">
            <v>2</v>
          </cell>
          <cell r="EB2">
            <v>3</v>
          </cell>
          <cell r="EC2">
            <v>2</v>
          </cell>
          <cell r="ED2">
            <v>1</v>
          </cell>
          <cell r="EE2">
            <v>2</v>
          </cell>
          <cell r="EF2">
            <v>0</v>
          </cell>
          <cell r="EG2">
            <v>1</v>
          </cell>
          <cell r="EH2">
            <v>1</v>
          </cell>
          <cell r="EI2">
            <v>2</v>
          </cell>
          <cell r="EJ2">
            <v>2</v>
          </cell>
          <cell r="EK2">
            <v>0</v>
          </cell>
          <cell r="EL2">
            <v>24</v>
          </cell>
          <cell r="EM2">
            <v>10</v>
          </cell>
          <cell r="EN2">
            <v>30</v>
          </cell>
          <cell r="EO2">
            <v>64</v>
          </cell>
          <cell r="EP2">
            <v>3</v>
          </cell>
          <cell r="EQ2">
            <v>3</v>
          </cell>
          <cell r="ER2">
            <v>5</v>
          </cell>
          <cell r="ES2">
            <v>3</v>
          </cell>
          <cell r="ET2">
            <v>3</v>
          </cell>
          <cell r="EU2">
            <v>3</v>
          </cell>
          <cell r="EV2">
            <v>3</v>
          </cell>
          <cell r="EW2">
            <v>3</v>
          </cell>
          <cell r="EX2">
            <v>3</v>
          </cell>
          <cell r="EY2">
            <v>5</v>
          </cell>
          <cell r="EZ2">
            <v>5</v>
          </cell>
          <cell r="FA2">
            <v>3</v>
          </cell>
          <cell r="FB2">
            <v>3</v>
          </cell>
          <cell r="FC2">
            <v>2</v>
          </cell>
          <cell r="FD2">
            <v>2</v>
          </cell>
          <cell r="FE2">
            <v>5</v>
          </cell>
          <cell r="FF2" t="str">
            <v xml:space="preserve"> </v>
          </cell>
          <cell r="FG2">
            <v>54</v>
          </cell>
          <cell r="FH2">
            <v>4</v>
          </cell>
          <cell r="FI2">
            <v>1</v>
          </cell>
          <cell r="FJ2">
            <v>2</v>
          </cell>
          <cell r="FK2">
            <v>3</v>
          </cell>
          <cell r="FL2">
            <v>2</v>
          </cell>
          <cell r="FM2">
            <v>2</v>
          </cell>
          <cell r="FN2">
            <v>2</v>
          </cell>
          <cell r="FO2">
            <v>3</v>
          </cell>
          <cell r="FP2">
            <v>2</v>
          </cell>
          <cell r="FQ2">
            <v>2</v>
          </cell>
          <cell r="FR2">
            <v>3</v>
          </cell>
          <cell r="FS2">
            <v>2</v>
          </cell>
          <cell r="FT2">
            <v>3</v>
          </cell>
          <cell r="FU2">
            <v>2</v>
          </cell>
          <cell r="FV2">
            <v>3</v>
          </cell>
          <cell r="FW2">
            <v>3</v>
          </cell>
          <cell r="FX2">
            <v>2</v>
          </cell>
          <cell r="FY2">
            <v>2</v>
          </cell>
          <cell r="FZ2">
            <v>3</v>
          </cell>
          <cell r="GA2">
            <v>2</v>
          </cell>
          <cell r="GB2">
            <v>3</v>
          </cell>
          <cell r="GC2">
            <v>30</v>
          </cell>
        </row>
        <row r="3">
          <cell r="A3">
            <v>814</v>
          </cell>
          <cell r="B3">
            <v>1</v>
          </cell>
          <cell r="C3">
            <v>20</v>
          </cell>
          <cell r="D3">
            <v>1</v>
          </cell>
          <cell r="E3" t="str">
            <v xml:space="preserve"> </v>
          </cell>
          <cell r="F3">
            <v>5</v>
          </cell>
          <cell r="G3">
            <v>0</v>
          </cell>
          <cell r="H3" t="str">
            <v xml:space="preserve"> </v>
          </cell>
          <cell r="I3">
            <v>2</v>
          </cell>
          <cell r="J3" t="str">
            <v>Tutor</v>
          </cell>
          <cell r="K3">
            <v>2</v>
          </cell>
          <cell r="L3">
            <v>5</v>
          </cell>
          <cell r="M3" t="str">
            <v xml:space="preserve"> </v>
          </cell>
          <cell r="N3" t="str">
            <v>5'9</v>
          </cell>
          <cell r="O3">
            <v>140</v>
          </cell>
          <cell r="P3" t="str">
            <v xml:space="preserve"> </v>
          </cell>
          <cell r="Q3" t="str">
            <v xml:space="preserve"> </v>
          </cell>
          <cell r="R3" t="str">
            <v xml:space="preserve"> </v>
          </cell>
          <cell r="S3" t="str">
            <v xml:space="preserve"> </v>
          </cell>
          <cell r="T3">
            <v>0</v>
          </cell>
          <cell r="U3" t="str">
            <v xml:space="preserve"> </v>
          </cell>
          <cell r="V3" t="str">
            <v xml:space="preserve"> </v>
          </cell>
          <cell r="W3">
            <v>0</v>
          </cell>
          <cell r="X3">
            <v>0</v>
          </cell>
          <cell r="Y3">
            <v>0</v>
          </cell>
          <cell r="Z3">
            <v>0</v>
          </cell>
          <cell r="AA3">
            <v>0</v>
          </cell>
          <cell r="AB3">
            <v>0</v>
          </cell>
          <cell r="AC3">
            <v>0</v>
          </cell>
          <cell r="AD3">
            <v>1</v>
          </cell>
          <cell r="AE3">
            <v>1</v>
          </cell>
          <cell r="AF3">
            <v>0</v>
          </cell>
          <cell r="AG3">
            <v>0</v>
          </cell>
          <cell r="AH3">
            <v>0</v>
          </cell>
          <cell r="AI3">
            <v>0</v>
          </cell>
          <cell r="AJ3">
            <v>0</v>
          </cell>
          <cell r="AK3">
            <v>0</v>
          </cell>
          <cell r="AL3">
            <v>0</v>
          </cell>
          <cell r="AM3">
            <v>0</v>
          </cell>
          <cell r="AN3">
            <v>0</v>
          </cell>
          <cell r="AO3">
            <v>0</v>
          </cell>
          <cell r="AP3">
            <v>0</v>
          </cell>
          <cell r="AQ3" t="str">
            <v xml:space="preserve"> </v>
          </cell>
          <cell r="AR3">
            <v>1</v>
          </cell>
          <cell r="AS3">
            <v>0</v>
          </cell>
          <cell r="AT3">
            <v>1</v>
          </cell>
          <cell r="AU3">
            <v>0</v>
          </cell>
          <cell r="AV3">
            <v>0</v>
          </cell>
          <cell r="AW3">
            <v>0</v>
          </cell>
          <cell r="AX3">
            <v>0</v>
          </cell>
          <cell r="AY3">
            <v>0</v>
          </cell>
          <cell r="AZ3">
            <v>22</v>
          </cell>
          <cell r="BA3">
            <v>0</v>
          </cell>
          <cell r="BB3" t="str">
            <v xml:space="preserve"> </v>
          </cell>
          <cell r="BC3" t="str">
            <v xml:space="preserve"> </v>
          </cell>
          <cell r="BD3">
            <v>2</v>
          </cell>
          <cell r="BE3">
            <v>1</v>
          </cell>
          <cell r="BF3">
            <v>30</v>
          </cell>
          <cell r="BG3">
            <v>7</v>
          </cell>
          <cell r="BH3">
            <v>0</v>
          </cell>
          <cell r="BI3">
            <v>15</v>
          </cell>
          <cell r="BJ3">
            <v>3</v>
          </cell>
          <cell r="BK3">
            <v>0</v>
          </cell>
          <cell r="BL3">
            <v>180</v>
          </cell>
          <cell r="BM3">
            <v>346.5</v>
          </cell>
          <cell r="BN3">
            <v>720</v>
          </cell>
          <cell r="BO3">
            <v>0</v>
          </cell>
          <cell r="BP3">
            <v>1066.5</v>
          </cell>
          <cell r="BQ3">
            <v>2</v>
          </cell>
          <cell r="BR3">
            <v>7</v>
          </cell>
          <cell r="BS3">
            <v>7</v>
          </cell>
          <cell r="BT3">
            <v>5</v>
          </cell>
          <cell r="BU3">
            <v>5</v>
          </cell>
          <cell r="BV3">
            <v>7</v>
          </cell>
          <cell r="BW3">
            <v>5</v>
          </cell>
          <cell r="BX3">
            <v>6</v>
          </cell>
          <cell r="BY3">
            <v>5</v>
          </cell>
          <cell r="BZ3">
            <v>6</v>
          </cell>
          <cell r="CA3">
            <v>7</v>
          </cell>
          <cell r="CB3">
            <v>6</v>
          </cell>
          <cell r="CC3">
            <v>4</v>
          </cell>
          <cell r="CD3">
            <v>7</v>
          </cell>
          <cell r="CE3">
            <v>5.25</v>
          </cell>
          <cell r="CF3">
            <v>5.25</v>
          </cell>
          <cell r="CG3">
            <v>5.8333333329999997</v>
          </cell>
          <cell r="CH3">
            <v>5</v>
          </cell>
          <cell r="CI3">
            <v>6</v>
          </cell>
          <cell r="CJ3">
            <v>4</v>
          </cell>
          <cell r="CK3">
            <v>7</v>
          </cell>
          <cell r="CL3">
            <v>2</v>
          </cell>
          <cell r="CM3">
            <v>6</v>
          </cell>
          <cell r="CN3">
            <v>2</v>
          </cell>
          <cell r="CO3">
            <v>6</v>
          </cell>
          <cell r="CP3">
            <v>5</v>
          </cell>
          <cell r="CQ3">
            <v>4</v>
          </cell>
          <cell r="CR3">
            <v>7</v>
          </cell>
          <cell r="CS3">
            <v>6</v>
          </cell>
          <cell r="CT3">
            <v>7</v>
          </cell>
          <cell r="CU3">
            <v>8</v>
          </cell>
          <cell r="CV3">
            <v>8</v>
          </cell>
          <cell r="CW3">
            <v>6</v>
          </cell>
          <cell r="CX3">
            <v>7</v>
          </cell>
          <cell r="CY3">
            <v>6</v>
          </cell>
          <cell r="CZ3">
            <v>6</v>
          </cell>
          <cell r="DA3">
            <v>7</v>
          </cell>
          <cell r="DB3">
            <v>3</v>
          </cell>
          <cell r="DC3">
            <v>118</v>
          </cell>
          <cell r="DD3">
            <v>16</v>
          </cell>
          <cell r="DE3">
            <v>19</v>
          </cell>
          <cell r="DF3">
            <v>9</v>
          </cell>
          <cell r="DG3">
            <v>18</v>
          </cell>
          <cell r="DH3">
            <v>15</v>
          </cell>
          <cell r="DI3">
            <v>22</v>
          </cell>
          <cell r="DJ3">
            <v>19</v>
          </cell>
          <cell r="DK3">
            <v>21</v>
          </cell>
          <cell r="DL3">
            <v>20</v>
          </cell>
          <cell r="DM3">
            <v>20</v>
          </cell>
          <cell r="DN3">
            <v>19</v>
          </cell>
          <cell r="DO3">
            <v>22</v>
          </cell>
          <cell r="DP3">
            <v>12</v>
          </cell>
          <cell r="DQ3">
            <v>2</v>
          </cell>
          <cell r="DR3">
            <v>0</v>
          </cell>
          <cell r="DS3">
            <v>3</v>
          </cell>
          <cell r="DT3">
            <v>0</v>
          </cell>
          <cell r="DU3">
            <v>1</v>
          </cell>
          <cell r="DV3">
            <v>1</v>
          </cell>
          <cell r="DW3">
            <v>0</v>
          </cell>
          <cell r="DX3">
            <v>0</v>
          </cell>
          <cell r="DY3">
            <v>1</v>
          </cell>
          <cell r="DZ3">
            <v>2</v>
          </cell>
          <cell r="EA3">
            <v>2</v>
          </cell>
          <cell r="EB3">
            <v>2</v>
          </cell>
          <cell r="EC3">
            <v>3</v>
          </cell>
          <cell r="ED3">
            <v>1</v>
          </cell>
          <cell r="EE3">
            <v>1</v>
          </cell>
          <cell r="EF3">
            <v>2</v>
          </cell>
          <cell r="EG3">
            <v>1</v>
          </cell>
          <cell r="EH3">
            <v>0</v>
          </cell>
          <cell r="EI3">
            <v>0</v>
          </cell>
          <cell r="EJ3">
            <v>0</v>
          </cell>
          <cell r="EK3">
            <v>1</v>
          </cell>
          <cell r="EL3">
            <v>4</v>
          </cell>
          <cell r="EM3">
            <v>26</v>
          </cell>
          <cell r="EN3">
            <v>16</v>
          </cell>
          <cell r="EO3">
            <v>46</v>
          </cell>
          <cell r="EP3">
            <v>3</v>
          </cell>
          <cell r="EQ3">
            <v>3</v>
          </cell>
          <cell r="ER3">
            <v>3</v>
          </cell>
          <cell r="ES3">
            <v>3</v>
          </cell>
          <cell r="ET3">
            <v>5</v>
          </cell>
          <cell r="EU3">
            <v>3</v>
          </cell>
          <cell r="EV3">
            <v>3</v>
          </cell>
          <cell r="EW3">
            <v>3</v>
          </cell>
          <cell r="EX3">
            <v>3</v>
          </cell>
          <cell r="EY3">
            <v>5</v>
          </cell>
          <cell r="EZ3">
            <v>3</v>
          </cell>
          <cell r="FA3">
            <v>3</v>
          </cell>
          <cell r="FB3">
            <v>5</v>
          </cell>
          <cell r="FC3">
            <v>2</v>
          </cell>
          <cell r="FD3">
            <v>4</v>
          </cell>
          <cell r="FE3">
            <v>5</v>
          </cell>
          <cell r="FF3">
            <v>1</v>
          </cell>
          <cell r="FG3">
            <v>57</v>
          </cell>
          <cell r="FH3">
            <v>4</v>
          </cell>
          <cell r="FI3">
            <v>1</v>
          </cell>
          <cell r="FJ3">
            <v>2</v>
          </cell>
          <cell r="FK3">
            <v>3</v>
          </cell>
          <cell r="FL3">
            <v>2</v>
          </cell>
          <cell r="FM3">
            <v>2</v>
          </cell>
          <cell r="FN3">
            <v>2</v>
          </cell>
          <cell r="FO3">
            <v>2</v>
          </cell>
          <cell r="FP3">
            <v>3</v>
          </cell>
          <cell r="FQ3">
            <v>3</v>
          </cell>
          <cell r="FR3">
            <v>3</v>
          </cell>
          <cell r="FS3">
            <v>2</v>
          </cell>
          <cell r="FT3">
            <v>3</v>
          </cell>
          <cell r="FU3">
            <v>3</v>
          </cell>
          <cell r="FV3">
            <v>2</v>
          </cell>
          <cell r="FW3">
            <v>3</v>
          </cell>
          <cell r="FX3">
            <v>2</v>
          </cell>
          <cell r="FY3">
            <v>3</v>
          </cell>
          <cell r="FZ3">
            <v>3</v>
          </cell>
          <cell r="GA3">
            <v>2</v>
          </cell>
          <cell r="GB3">
            <v>2</v>
          </cell>
          <cell r="GC3">
            <v>31</v>
          </cell>
        </row>
        <row r="4">
          <cell r="A4">
            <v>815</v>
          </cell>
          <cell r="B4">
            <v>1</v>
          </cell>
          <cell r="C4">
            <v>22</v>
          </cell>
          <cell r="D4">
            <v>0</v>
          </cell>
          <cell r="E4" t="str">
            <v xml:space="preserve"> </v>
          </cell>
          <cell r="F4">
            <v>5</v>
          </cell>
          <cell r="G4">
            <v>0</v>
          </cell>
          <cell r="H4" t="str">
            <v xml:space="preserve"> </v>
          </cell>
          <cell r="I4">
            <v>5</v>
          </cell>
          <cell r="J4" t="str">
            <v>research assistant</v>
          </cell>
          <cell r="K4">
            <v>1</v>
          </cell>
          <cell r="L4">
            <v>5</v>
          </cell>
          <cell r="M4" t="str">
            <v xml:space="preserve"> </v>
          </cell>
          <cell r="N4" t="str">
            <v>5'3</v>
          </cell>
          <cell r="O4">
            <v>125</v>
          </cell>
          <cell r="P4" t="str">
            <v xml:space="preserve"> </v>
          </cell>
          <cell r="Q4" t="str">
            <v xml:space="preserve"> </v>
          </cell>
          <cell r="R4">
            <v>0</v>
          </cell>
          <cell r="S4" t="str">
            <v xml:space="preserve"> </v>
          </cell>
          <cell r="T4">
            <v>0</v>
          </cell>
          <cell r="U4" t="str">
            <v xml:space="preserve"> </v>
          </cell>
          <cell r="V4" t="str">
            <v xml:space="preserve"> </v>
          </cell>
          <cell r="W4">
            <v>0</v>
          </cell>
          <cell r="X4">
            <v>0</v>
          </cell>
          <cell r="Y4">
            <v>0</v>
          </cell>
          <cell r="Z4">
            <v>0</v>
          </cell>
          <cell r="AA4">
            <v>0</v>
          </cell>
          <cell r="AB4">
            <v>0</v>
          </cell>
          <cell r="AC4">
            <v>0</v>
          </cell>
          <cell r="AD4">
            <v>1</v>
          </cell>
          <cell r="AE4">
            <v>1</v>
          </cell>
          <cell r="AF4">
            <v>0</v>
          </cell>
          <cell r="AG4">
            <v>0</v>
          </cell>
          <cell r="AH4">
            <v>0</v>
          </cell>
          <cell r="AI4">
            <v>0</v>
          </cell>
          <cell r="AJ4">
            <v>0</v>
          </cell>
          <cell r="AK4">
            <v>0</v>
          </cell>
          <cell r="AL4">
            <v>0</v>
          </cell>
          <cell r="AM4">
            <v>0</v>
          </cell>
          <cell r="AN4">
            <v>0</v>
          </cell>
          <cell r="AO4">
            <v>0</v>
          </cell>
          <cell r="AP4">
            <v>0</v>
          </cell>
          <cell r="AQ4" t="str">
            <v xml:space="preserve"> </v>
          </cell>
          <cell r="AR4">
            <v>0</v>
          </cell>
          <cell r="AS4">
            <v>0</v>
          </cell>
          <cell r="AT4">
            <v>1</v>
          </cell>
          <cell r="AU4">
            <v>0</v>
          </cell>
          <cell r="AV4">
            <v>1</v>
          </cell>
          <cell r="AW4">
            <v>0</v>
          </cell>
          <cell r="AX4">
            <v>1</v>
          </cell>
          <cell r="AY4">
            <v>0</v>
          </cell>
          <cell r="AZ4">
            <v>27</v>
          </cell>
          <cell r="BA4">
            <v>1</v>
          </cell>
          <cell r="BB4">
            <v>0</v>
          </cell>
          <cell r="BC4">
            <v>25</v>
          </cell>
          <cell r="BD4">
            <v>1</v>
          </cell>
          <cell r="BE4">
            <v>0</v>
          </cell>
          <cell r="BF4">
            <v>30</v>
          </cell>
          <cell r="BG4">
            <v>3</v>
          </cell>
          <cell r="BH4">
            <v>0</v>
          </cell>
          <cell r="BI4">
            <v>20</v>
          </cell>
          <cell r="BJ4">
            <v>14</v>
          </cell>
          <cell r="BK4">
            <v>0</v>
          </cell>
          <cell r="BL4">
            <v>840</v>
          </cell>
          <cell r="BM4">
            <v>198</v>
          </cell>
          <cell r="BN4">
            <v>120</v>
          </cell>
          <cell r="BO4">
            <v>200</v>
          </cell>
          <cell r="BP4">
            <v>518</v>
          </cell>
          <cell r="BQ4">
            <v>1</v>
          </cell>
          <cell r="BR4">
            <v>6</v>
          </cell>
          <cell r="BS4">
            <v>7</v>
          </cell>
          <cell r="BT4">
            <v>5</v>
          </cell>
          <cell r="BU4">
            <v>6</v>
          </cell>
          <cell r="BV4">
            <v>6</v>
          </cell>
          <cell r="BW4">
            <v>6</v>
          </cell>
          <cell r="BX4">
            <v>6</v>
          </cell>
          <cell r="BY4">
            <v>6</v>
          </cell>
          <cell r="BZ4">
            <v>7</v>
          </cell>
          <cell r="CA4">
            <v>7</v>
          </cell>
          <cell r="CB4">
            <v>7</v>
          </cell>
          <cell r="CC4">
            <v>7</v>
          </cell>
          <cell r="CD4">
            <v>6.5</v>
          </cell>
          <cell r="CE4">
            <v>6</v>
          </cell>
          <cell r="CF4">
            <v>6.5</v>
          </cell>
          <cell r="CG4">
            <v>6.3333333329999997</v>
          </cell>
          <cell r="CH4">
            <v>2</v>
          </cell>
          <cell r="CI4">
            <v>3</v>
          </cell>
          <cell r="CJ4">
            <v>9</v>
          </cell>
          <cell r="CK4">
            <v>6</v>
          </cell>
          <cell r="CL4">
            <v>4</v>
          </cell>
          <cell r="CM4">
            <v>5</v>
          </cell>
          <cell r="CN4">
            <v>7</v>
          </cell>
          <cell r="CO4">
            <v>4</v>
          </cell>
          <cell r="CP4">
            <v>2</v>
          </cell>
          <cell r="CQ4">
            <v>3</v>
          </cell>
          <cell r="CR4">
            <v>2</v>
          </cell>
          <cell r="CS4">
            <v>6</v>
          </cell>
          <cell r="CT4">
            <v>6</v>
          </cell>
          <cell r="CU4">
            <v>3</v>
          </cell>
          <cell r="CV4">
            <v>6</v>
          </cell>
          <cell r="CW4">
            <v>2</v>
          </cell>
          <cell r="CX4">
            <v>7</v>
          </cell>
          <cell r="CY4">
            <v>6</v>
          </cell>
          <cell r="CZ4">
            <v>6</v>
          </cell>
          <cell r="DA4">
            <v>3</v>
          </cell>
          <cell r="DB4">
            <v>6</v>
          </cell>
          <cell r="DC4">
            <v>98</v>
          </cell>
          <cell r="DD4">
            <v>6</v>
          </cell>
          <cell r="DE4">
            <v>17</v>
          </cell>
          <cell r="DF4">
            <v>22</v>
          </cell>
          <cell r="DG4">
            <v>13</v>
          </cell>
          <cell r="DH4">
            <v>10</v>
          </cell>
          <cell r="DI4">
            <v>11</v>
          </cell>
          <cell r="DJ4">
            <v>19</v>
          </cell>
          <cell r="DK4">
            <v>15</v>
          </cell>
          <cell r="DL4">
            <v>21</v>
          </cell>
          <cell r="DM4">
            <v>20</v>
          </cell>
          <cell r="DN4">
            <v>8</v>
          </cell>
          <cell r="DO4">
            <v>23</v>
          </cell>
          <cell r="DP4">
            <v>13</v>
          </cell>
          <cell r="DQ4">
            <v>3</v>
          </cell>
          <cell r="DR4">
            <v>2</v>
          </cell>
          <cell r="DS4">
            <v>1</v>
          </cell>
          <cell r="DT4">
            <v>2</v>
          </cell>
          <cell r="DU4">
            <v>3</v>
          </cell>
          <cell r="DV4">
            <v>0</v>
          </cell>
          <cell r="DW4">
            <v>1</v>
          </cell>
          <cell r="DX4">
            <v>1</v>
          </cell>
          <cell r="DY4">
            <v>3</v>
          </cell>
          <cell r="DZ4">
            <v>1</v>
          </cell>
          <cell r="EA4">
            <v>1</v>
          </cell>
          <cell r="EB4">
            <v>3</v>
          </cell>
          <cell r="EC4">
            <v>2</v>
          </cell>
          <cell r="ED4">
            <v>2</v>
          </cell>
          <cell r="EE4">
            <v>0</v>
          </cell>
          <cell r="EF4">
            <v>2</v>
          </cell>
          <cell r="EG4">
            <v>1</v>
          </cell>
          <cell r="EH4">
            <v>0</v>
          </cell>
          <cell r="EI4">
            <v>2</v>
          </cell>
          <cell r="EJ4">
            <v>0</v>
          </cell>
          <cell r="EK4">
            <v>2</v>
          </cell>
          <cell r="EL4">
            <v>20</v>
          </cell>
          <cell r="EM4">
            <v>24</v>
          </cell>
          <cell r="EN4">
            <v>20</v>
          </cell>
          <cell r="EO4">
            <v>64</v>
          </cell>
          <cell r="EP4">
            <v>3</v>
          </cell>
          <cell r="EQ4">
            <v>5</v>
          </cell>
          <cell r="ER4">
            <v>3</v>
          </cell>
          <cell r="ES4">
            <v>5</v>
          </cell>
          <cell r="ET4">
            <v>5</v>
          </cell>
          <cell r="EU4">
            <v>5</v>
          </cell>
          <cell r="EV4">
            <v>5</v>
          </cell>
          <cell r="EW4">
            <v>3</v>
          </cell>
          <cell r="EX4">
            <v>2</v>
          </cell>
          <cell r="EY4">
            <v>5</v>
          </cell>
          <cell r="EZ4">
            <v>5</v>
          </cell>
          <cell r="FA4">
            <v>2</v>
          </cell>
          <cell r="FB4">
            <v>5</v>
          </cell>
          <cell r="FC4">
            <v>4</v>
          </cell>
          <cell r="FD4">
            <v>4</v>
          </cell>
          <cell r="FE4">
            <v>5</v>
          </cell>
          <cell r="FF4">
            <v>3</v>
          </cell>
          <cell r="FG4">
            <v>69</v>
          </cell>
          <cell r="FH4">
            <v>2</v>
          </cell>
          <cell r="FI4">
            <v>3</v>
          </cell>
          <cell r="FJ4">
            <v>2</v>
          </cell>
          <cell r="FK4">
            <v>1</v>
          </cell>
          <cell r="FL4">
            <v>4</v>
          </cell>
          <cell r="FM4">
            <v>4</v>
          </cell>
          <cell r="FN4">
            <v>2</v>
          </cell>
          <cell r="FO4">
            <v>3</v>
          </cell>
          <cell r="FP4">
            <v>2</v>
          </cell>
          <cell r="FQ4">
            <v>2</v>
          </cell>
          <cell r="FR4">
            <v>3</v>
          </cell>
          <cell r="FS4">
            <v>2</v>
          </cell>
          <cell r="FT4">
            <v>4</v>
          </cell>
          <cell r="FU4">
            <v>2</v>
          </cell>
          <cell r="FV4">
            <v>3</v>
          </cell>
          <cell r="FW4">
            <v>3</v>
          </cell>
          <cell r="FX4">
            <v>2</v>
          </cell>
          <cell r="FY4">
            <v>2</v>
          </cell>
          <cell r="FZ4">
            <v>3</v>
          </cell>
          <cell r="GA4">
            <v>2</v>
          </cell>
          <cell r="GB4">
            <v>3</v>
          </cell>
          <cell r="GC4">
            <v>37</v>
          </cell>
        </row>
        <row r="5">
          <cell r="A5">
            <v>821</v>
          </cell>
          <cell r="B5">
            <v>2</v>
          </cell>
          <cell r="C5">
            <v>60</v>
          </cell>
          <cell r="D5">
            <v>0</v>
          </cell>
          <cell r="E5" t="str">
            <v xml:space="preserve"> </v>
          </cell>
          <cell r="F5">
            <v>1</v>
          </cell>
          <cell r="G5">
            <v>1</v>
          </cell>
          <cell r="H5">
            <v>2</v>
          </cell>
          <cell r="I5">
            <v>2</v>
          </cell>
          <cell r="J5" t="str">
            <v>Annex Assistant</v>
          </cell>
          <cell r="K5">
            <v>2</v>
          </cell>
          <cell r="L5">
            <v>5</v>
          </cell>
          <cell r="M5" t="str">
            <v xml:space="preserve"> </v>
          </cell>
          <cell r="N5" t="str">
            <v>5' 2"</v>
          </cell>
          <cell r="O5">
            <v>140</v>
          </cell>
          <cell r="P5" t="str">
            <v xml:space="preserve"> </v>
          </cell>
          <cell r="Q5" t="str">
            <v xml:space="preserve"> </v>
          </cell>
          <cell r="R5" t="str">
            <v xml:space="preserve"> </v>
          </cell>
          <cell r="S5" t="str">
            <v xml:space="preserve"> </v>
          </cell>
          <cell r="T5">
            <v>0</v>
          </cell>
          <cell r="U5" t="str">
            <v xml:space="preserve"> </v>
          </cell>
          <cell r="V5" t="str">
            <v xml:space="preserve"> </v>
          </cell>
          <cell r="W5">
            <v>0</v>
          </cell>
          <cell r="X5">
            <v>0</v>
          </cell>
          <cell r="Y5">
            <v>0</v>
          </cell>
          <cell r="Z5">
            <v>0</v>
          </cell>
          <cell r="AA5">
            <v>0</v>
          </cell>
          <cell r="AB5">
            <v>0</v>
          </cell>
          <cell r="AC5">
            <v>0</v>
          </cell>
          <cell r="AD5">
            <v>0</v>
          </cell>
          <cell r="AE5">
            <v>1</v>
          </cell>
          <cell r="AF5">
            <v>0</v>
          </cell>
          <cell r="AG5">
            <v>0</v>
          </cell>
          <cell r="AH5">
            <v>0</v>
          </cell>
          <cell r="AI5">
            <v>0</v>
          </cell>
          <cell r="AJ5">
            <v>0</v>
          </cell>
          <cell r="AK5">
            <v>0</v>
          </cell>
          <cell r="AL5">
            <v>0</v>
          </cell>
          <cell r="AM5">
            <v>0</v>
          </cell>
          <cell r="AN5">
            <v>0</v>
          </cell>
          <cell r="AO5">
            <v>0</v>
          </cell>
          <cell r="AP5">
            <v>0</v>
          </cell>
          <cell r="AQ5" t="str">
            <v xml:space="preserve"> </v>
          </cell>
          <cell r="AR5">
            <v>1</v>
          </cell>
          <cell r="AS5">
            <v>0</v>
          </cell>
          <cell r="AT5">
            <v>1</v>
          </cell>
          <cell r="AU5">
            <v>0</v>
          </cell>
          <cell r="AV5">
            <v>1</v>
          </cell>
          <cell r="AW5">
            <v>0</v>
          </cell>
          <cell r="AX5">
            <v>1</v>
          </cell>
          <cell r="AY5">
            <v>0</v>
          </cell>
          <cell r="AZ5">
            <v>15</v>
          </cell>
          <cell r="BA5">
            <v>4</v>
          </cell>
          <cell r="BB5">
            <v>1</v>
          </cell>
          <cell r="BC5" t="str">
            <v xml:space="preserve"> </v>
          </cell>
          <cell r="BD5">
            <v>3</v>
          </cell>
          <cell r="BE5">
            <v>2</v>
          </cell>
          <cell r="BF5">
            <v>120</v>
          </cell>
          <cell r="BG5">
            <v>4</v>
          </cell>
          <cell r="BH5">
            <v>1</v>
          </cell>
          <cell r="BI5">
            <v>60</v>
          </cell>
          <cell r="BJ5">
            <v>6</v>
          </cell>
          <cell r="BK5">
            <v>360</v>
          </cell>
          <cell r="BL5">
            <v>720</v>
          </cell>
          <cell r="BM5">
            <v>1584</v>
          </cell>
          <cell r="BN5">
            <v>2880</v>
          </cell>
          <cell r="BO5">
            <v>1920</v>
          </cell>
          <cell r="BP5">
            <v>6384</v>
          </cell>
          <cell r="BQ5">
            <v>3</v>
          </cell>
          <cell r="BR5">
            <v>6</v>
          </cell>
          <cell r="BS5">
            <v>7</v>
          </cell>
          <cell r="BT5">
            <v>3</v>
          </cell>
          <cell r="BU5">
            <v>3</v>
          </cell>
          <cell r="BV5">
            <v>7</v>
          </cell>
          <cell r="BW5">
            <v>7</v>
          </cell>
          <cell r="BX5">
            <v>7</v>
          </cell>
          <cell r="BY5">
            <v>3</v>
          </cell>
          <cell r="BZ5">
            <v>7</v>
          </cell>
          <cell r="CA5">
            <v>7</v>
          </cell>
          <cell r="CB5">
            <v>3</v>
          </cell>
          <cell r="CC5">
            <v>7</v>
          </cell>
          <cell r="CD5">
            <v>6.75</v>
          </cell>
          <cell r="CE5">
            <v>3</v>
          </cell>
          <cell r="CF5">
            <v>7</v>
          </cell>
          <cell r="CG5">
            <v>5.5833333329999997</v>
          </cell>
          <cell r="CH5">
            <v>1</v>
          </cell>
          <cell r="CI5">
            <v>7</v>
          </cell>
          <cell r="CJ5">
            <v>9</v>
          </cell>
          <cell r="CK5">
            <v>9</v>
          </cell>
          <cell r="CL5">
            <v>7</v>
          </cell>
          <cell r="CM5">
            <v>7</v>
          </cell>
          <cell r="CN5">
            <v>9</v>
          </cell>
          <cell r="CO5">
            <v>7</v>
          </cell>
          <cell r="CP5">
            <v>9</v>
          </cell>
          <cell r="CQ5">
            <v>7</v>
          </cell>
          <cell r="CR5">
            <v>7</v>
          </cell>
          <cell r="CS5">
            <v>7</v>
          </cell>
          <cell r="CT5">
            <v>7</v>
          </cell>
          <cell r="CU5">
            <v>7</v>
          </cell>
          <cell r="CV5">
            <v>7</v>
          </cell>
          <cell r="CW5">
            <v>8</v>
          </cell>
          <cell r="CX5">
            <v>7</v>
          </cell>
          <cell r="CY5">
            <v>7</v>
          </cell>
          <cell r="CZ5">
            <v>7</v>
          </cell>
          <cell r="DA5">
            <v>8</v>
          </cell>
          <cell r="DB5">
            <v>7</v>
          </cell>
          <cell r="DC5">
            <v>151</v>
          </cell>
          <cell r="DD5">
            <v>18</v>
          </cell>
          <cell r="DE5">
            <v>21</v>
          </cell>
          <cell r="DF5">
            <v>25</v>
          </cell>
          <cell r="DG5">
            <v>21</v>
          </cell>
          <cell r="DH5">
            <v>22</v>
          </cell>
          <cell r="DI5">
            <v>23</v>
          </cell>
          <cell r="DJ5">
            <v>21</v>
          </cell>
          <cell r="DK5">
            <v>23</v>
          </cell>
          <cell r="DL5">
            <v>32</v>
          </cell>
          <cell r="DM5">
            <v>32</v>
          </cell>
          <cell r="DN5">
            <v>22</v>
          </cell>
          <cell r="DO5">
            <v>24</v>
          </cell>
          <cell r="DP5">
            <v>21</v>
          </cell>
          <cell r="DQ5">
            <v>0</v>
          </cell>
          <cell r="DR5">
            <v>0</v>
          </cell>
          <cell r="DS5">
            <v>1</v>
          </cell>
          <cell r="DT5">
            <v>0</v>
          </cell>
          <cell r="DU5">
            <v>2</v>
          </cell>
          <cell r="DV5">
            <v>0</v>
          </cell>
          <cell r="DW5">
            <v>0</v>
          </cell>
          <cell r="DX5">
            <v>0</v>
          </cell>
          <cell r="DY5">
            <v>0</v>
          </cell>
          <cell r="DZ5">
            <v>1</v>
          </cell>
          <cell r="EA5">
            <v>0</v>
          </cell>
          <cell r="EB5">
            <v>0</v>
          </cell>
          <cell r="EC5">
            <v>1</v>
          </cell>
          <cell r="ED5">
            <v>0</v>
          </cell>
          <cell r="EE5">
            <v>0</v>
          </cell>
          <cell r="EF5">
            <v>2</v>
          </cell>
          <cell r="EG5">
            <v>1</v>
          </cell>
          <cell r="EH5">
            <v>0</v>
          </cell>
          <cell r="EI5">
            <v>0</v>
          </cell>
          <cell r="EJ5">
            <v>0</v>
          </cell>
          <cell r="EK5">
            <v>0</v>
          </cell>
          <cell r="EL5">
            <v>0</v>
          </cell>
          <cell r="EM5">
            <v>16</v>
          </cell>
          <cell r="EN5">
            <v>0</v>
          </cell>
          <cell r="EO5">
            <v>16</v>
          </cell>
          <cell r="EP5">
            <v>3</v>
          </cell>
          <cell r="EQ5">
            <v>3</v>
          </cell>
          <cell r="ER5">
            <v>3</v>
          </cell>
          <cell r="ES5">
            <v>5</v>
          </cell>
          <cell r="ET5">
            <v>1</v>
          </cell>
          <cell r="EU5">
            <v>4</v>
          </cell>
          <cell r="EV5">
            <v>5</v>
          </cell>
          <cell r="EW5">
            <v>5</v>
          </cell>
          <cell r="EX5">
            <v>1</v>
          </cell>
          <cell r="EY5">
            <v>5</v>
          </cell>
          <cell r="EZ5">
            <v>5</v>
          </cell>
          <cell r="FA5">
            <v>5</v>
          </cell>
          <cell r="FB5">
            <v>4</v>
          </cell>
          <cell r="FC5">
            <v>1</v>
          </cell>
          <cell r="FD5">
            <v>4</v>
          </cell>
          <cell r="FE5">
            <v>3</v>
          </cell>
          <cell r="FF5">
            <v>1</v>
          </cell>
          <cell r="FG5">
            <v>58</v>
          </cell>
          <cell r="FH5">
            <v>3</v>
          </cell>
          <cell r="FI5">
            <v>2</v>
          </cell>
          <cell r="FJ5">
            <v>2</v>
          </cell>
          <cell r="FK5">
            <v>2</v>
          </cell>
          <cell r="FL5">
            <v>3</v>
          </cell>
          <cell r="FM5">
            <v>2</v>
          </cell>
          <cell r="FN5">
            <v>2</v>
          </cell>
          <cell r="FO5">
            <v>3</v>
          </cell>
          <cell r="FP5">
            <v>2</v>
          </cell>
          <cell r="FQ5">
            <v>2</v>
          </cell>
          <cell r="FR5">
            <v>3</v>
          </cell>
          <cell r="FS5">
            <v>2</v>
          </cell>
          <cell r="FT5">
            <v>3</v>
          </cell>
          <cell r="FU5">
            <v>3</v>
          </cell>
          <cell r="FV5">
            <v>2</v>
          </cell>
          <cell r="FW5">
            <v>3</v>
          </cell>
          <cell r="FX5">
            <v>2</v>
          </cell>
          <cell r="FY5">
            <v>2</v>
          </cell>
          <cell r="FZ5">
            <v>3</v>
          </cell>
          <cell r="GA5">
            <v>2</v>
          </cell>
          <cell r="GB5">
            <v>3</v>
          </cell>
          <cell r="GC5">
            <v>31</v>
          </cell>
        </row>
        <row r="6">
          <cell r="A6">
            <v>822</v>
          </cell>
          <cell r="B6">
            <v>0</v>
          </cell>
          <cell r="C6">
            <v>39</v>
          </cell>
          <cell r="D6">
            <v>1</v>
          </cell>
          <cell r="E6" t="str">
            <v xml:space="preserve"> </v>
          </cell>
          <cell r="F6">
            <v>1</v>
          </cell>
          <cell r="G6">
            <v>0</v>
          </cell>
          <cell r="H6" t="str">
            <v xml:space="preserve"> </v>
          </cell>
          <cell r="I6">
            <v>2</v>
          </cell>
          <cell r="J6" t="str">
            <v>consultant</v>
          </cell>
          <cell r="K6">
            <v>2</v>
          </cell>
          <cell r="L6">
            <v>4</v>
          </cell>
          <cell r="M6" t="str">
            <v xml:space="preserve"> </v>
          </cell>
          <cell r="N6" t="str">
            <v>5'10"</v>
          </cell>
          <cell r="O6">
            <v>130</v>
          </cell>
          <cell r="P6" t="str">
            <v xml:space="preserve"> </v>
          </cell>
          <cell r="Q6" t="str">
            <v xml:space="preserve"> </v>
          </cell>
          <cell r="R6" t="str">
            <v xml:space="preserve"> </v>
          </cell>
          <cell r="S6" t="str">
            <v xml:space="preserve"> </v>
          </cell>
          <cell r="T6">
            <v>0</v>
          </cell>
          <cell r="U6" t="str">
            <v xml:space="preserve"> </v>
          </cell>
          <cell r="V6" t="str">
            <v xml:space="preserve"> </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t="str">
            <v xml:space="preserve"> </v>
          </cell>
          <cell r="AR6">
            <v>0</v>
          </cell>
          <cell r="AS6">
            <v>0</v>
          </cell>
          <cell r="AT6">
            <v>0</v>
          </cell>
          <cell r="AU6">
            <v>0</v>
          </cell>
          <cell r="AV6">
            <v>0</v>
          </cell>
          <cell r="AW6">
            <v>0</v>
          </cell>
          <cell r="AX6">
            <v>0</v>
          </cell>
          <cell r="AY6">
            <v>0</v>
          </cell>
          <cell r="AZ6">
            <v>0</v>
          </cell>
          <cell r="BA6">
            <v>0</v>
          </cell>
          <cell r="BB6" t="str">
            <v xml:space="preserve"> </v>
          </cell>
          <cell r="BC6" t="str">
            <v xml:space="preserve"> </v>
          </cell>
          <cell r="BD6">
            <v>3</v>
          </cell>
          <cell r="BE6">
            <v>3</v>
          </cell>
          <cell r="BF6">
            <v>15</v>
          </cell>
          <cell r="BG6">
            <v>6</v>
          </cell>
          <cell r="BH6">
            <v>0</v>
          </cell>
          <cell r="BI6">
            <v>45</v>
          </cell>
          <cell r="BJ6">
            <v>8</v>
          </cell>
          <cell r="BK6">
            <v>30</v>
          </cell>
          <cell r="BL6">
            <v>510</v>
          </cell>
          <cell r="BM6">
            <v>891</v>
          </cell>
          <cell r="BN6">
            <v>2340</v>
          </cell>
          <cell r="BO6">
            <v>0</v>
          </cell>
          <cell r="BP6">
            <v>3231</v>
          </cell>
          <cell r="BQ6">
            <v>3</v>
          </cell>
          <cell r="BR6">
            <v>6</v>
          </cell>
          <cell r="BS6">
            <v>6</v>
          </cell>
          <cell r="BT6">
            <v>5</v>
          </cell>
          <cell r="BU6">
            <v>6</v>
          </cell>
          <cell r="BV6">
            <v>6</v>
          </cell>
          <cell r="BW6">
            <v>5</v>
          </cell>
          <cell r="BX6">
            <v>5</v>
          </cell>
          <cell r="BY6">
            <v>6</v>
          </cell>
          <cell r="BZ6">
            <v>5</v>
          </cell>
          <cell r="CA6">
            <v>6</v>
          </cell>
          <cell r="CB6">
            <v>5</v>
          </cell>
          <cell r="CC6">
            <v>5</v>
          </cell>
          <cell r="CD6">
            <v>6</v>
          </cell>
          <cell r="CE6">
            <v>5.5</v>
          </cell>
          <cell r="CF6">
            <v>5</v>
          </cell>
          <cell r="CG6">
            <v>5.5</v>
          </cell>
          <cell r="CH6">
            <v>4</v>
          </cell>
          <cell r="CI6">
            <v>8</v>
          </cell>
          <cell r="CJ6">
            <v>8</v>
          </cell>
          <cell r="CK6">
            <v>6</v>
          </cell>
          <cell r="CL6">
            <v>5</v>
          </cell>
          <cell r="CM6">
            <v>8</v>
          </cell>
          <cell r="CN6">
            <v>8</v>
          </cell>
          <cell r="CO6">
            <v>6</v>
          </cell>
          <cell r="CP6">
            <v>5</v>
          </cell>
          <cell r="CQ6">
            <v>6</v>
          </cell>
          <cell r="CR6">
            <v>3</v>
          </cell>
          <cell r="CS6">
            <v>8</v>
          </cell>
          <cell r="CT6">
            <v>2</v>
          </cell>
          <cell r="CU6">
            <v>2</v>
          </cell>
          <cell r="CV6">
            <v>6</v>
          </cell>
          <cell r="CW6">
            <v>7</v>
          </cell>
          <cell r="CX6">
            <v>8</v>
          </cell>
          <cell r="CY6">
            <v>4</v>
          </cell>
          <cell r="CZ6">
            <v>8</v>
          </cell>
          <cell r="DA6">
            <v>4</v>
          </cell>
          <cell r="DB6">
            <v>4</v>
          </cell>
          <cell r="DC6">
            <v>120</v>
          </cell>
          <cell r="DD6">
            <v>16</v>
          </cell>
          <cell r="DE6">
            <v>14</v>
          </cell>
          <cell r="DF6">
            <v>20</v>
          </cell>
          <cell r="DG6">
            <v>18</v>
          </cell>
          <cell r="DH6">
            <v>17</v>
          </cell>
          <cell r="DI6">
            <v>11</v>
          </cell>
          <cell r="DJ6">
            <v>24</v>
          </cell>
          <cell r="DK6">
            <v>16</v>
          </cell>
          <cell r="DL6">
            <v>23</v>
          </cell>
          <cell r="DM6">
            <v>23</v>
          </cell>
          <cell r="DN6">
            <v>16</v>
          </cell>
          <cell r="DO6">
            <v>28</v>
          </cell>
          <cell r="DP6">
            <v>15</v>
          </cell>
          <cell r="DQ6">
            <v>2</v>
          </cell>
          <cell r="DR6">
            <v>1</v>
          </cell>
          <cell r="DS6">
            <v>2</v>
          </cell>
          <cell r="DT6">
            <v>0</v>
          </cell>
          <cell r="DU6">
            <v>1</v>
          </cell>
          <cell r="DV6">
            <v>0</v>
          </cell>
          <cell r="DW6">
            <v>0</v>
          </cell>
          <cell r="DX6">
            <v>0</v>
          </cell>
          <cell r="DY6">
            <v>0</v>
          </cell>
          <cell r="DZ6">
            <v>1</v>
          </cell>
          <cell r="EA6">
            <v>1</v>
          </cell>
          <cell r="EB6">
            <v>2</v>
          </cell>
          <cell r="EC6">
            <v>1</v>
          </cell>
          <cell r="ED6">
            <v>0</v>
          </cell>
          <cell r="EE6">
            <v>0</v>
          </cell>
          <cell r="EF6">
            <v>0</v>
          </cell>
          <cell r="EG6">
            <v>0</v>
          </cell>
          <cell r="EH6">
            <v>0</v>
          </cell>
          <cell r="EI6">
            <v>0</v>
          </cell>
          <cell r="EJ6">
            <v>0</v>
          </cell>
          <cell r="EK6">
            <v>1</v>
          </cell>
          <cell r="EL6">
            <v>2</v>
          </cell>
          <cell r="EM6">
            <v>12</v>
          </cell>
          <cell r="EN6">
            <v>10</v>
          </cell>
          <cell r="EO6">
            <v>24</v>
          </cell>
          <cell r="EP6">
            <v>1</v>
          </cell>
          <cell r="EQ6">
            <v>3</v>
          </cell>
          <cell r="ER6">
            <v>1</v>
          </cell>
          <cell r="ES6">
            <v>5</v>
          </cell>
          <cell r="ET6">
            <v>5</v>
          </cell>
          <cell r="EU6">
            <v>3</v>
          </cell>
          <cell r="EV6">
            <v>3</v>
          </cell>
          <cell r="EW6">
            <v>1</v>
          </cell>
          <cell r="EX6">
            <v>3</v>
          </cell>
          <cell r="EY6">
            <v>5</v>
          </cell>
          <cell r="EZ6">
            <v>5</v>
          </cell>
          <cell r="FA6">
            <v>2</v>
          </cell>
          <cell r="FB6">
            <v>5</v>
          </cell>
          <cell r="FC6">
            <v>2</v>
          </cell>
          <cell r="FD6">
            <v>2</v>
          </cell>
          <cell r="FE6">
            <v>5</v>
          </cell>
          <cell r="FF6">
            <v>4</v>
          </cell>
          <cell r="FG6">
            <v>55</v>
          </cell>
          <cell r="FH6">
            <v>4</v>
          </cell>
          <cell r="FI6">
            <v>1</v>
          </cell>
          <cell r="FJ6">
            <v>1</v>
          </cell>
          <cell r="FK6">
            <v>4</v>
          </cell>
          <cell r="FL6">
            <v>1</v>
          </cell>
          <cell r="FM6">
            <v>1</v>
          </cell>
          <cell r="FN6">
            <v>1</v>
          </cell>
          <cell r="FO6">
            <v>4</v>
          </cell>
          <cell r="FP6">
            <v>1</v>
          </cell>
          <cell r="FQ6">
            <v>3</v>
          </cell>
          <cell r="FR6">
            <v>4</v>
          </cell>
          <cell r="FS6">
            <v>1</v>
          </cell>
          <cell r="FT6">
            <v>3</v>
          </cell>
          <cell r="FU6">
            <v>4</v>
          </cell>
          <cell r="FV6">
            <v>1</v>
          </cell>
          <cell r="FW6">
            <v>4</v>
          </cell>
          <cell r="FX6">
            <v>1</v>
          </cell>
          <cell r="FY6">
            <v>1</v>
          </cell>
          <cell r="FZ6">
            <v>2</v>
          </cell>
          <cell r="GA6">
            <v>3</v>
          </cell>
          <cell r="GB6">
            <v>1</v>
          </cell>
          <cell r="GC6">
            <v>20</v>
          </cell>
        </row>
        <row r="7">
          <cell r="A7">
            <v>823</v>
          </cell>
          <cell r="B7">
            <v>2</v>
          </cell>
          <cell r="C7">
            <v>21</v>
          </cell>
          <cell r="D7">
            <v>0</v>
          </cell>
          <cell r="E7" t="str">
            <v xml:space="preserve"> </v>
          </cell>
          <cell r="F7">
            <v>5</v>
          </cell>
          <cell r="G7">
            <v>0</v>
          </cell>
          <cell r="H7" t="str">
            <v xml:space="preserve"> </v>
          </cell>
          <cell r="I7">
            <v>5</v>
          </cell>
          <cell r="J7" t="str">
            <v>Patient Care Assistant/Aide</v>
          </cell>
          <cell r="K7">
            <v>2</v>
          </cell>
          <cell r="L7">
            <v>5</v>
          </cell>
          <cell r="M7" t="str">
            <v xml:space="preserve"> </v>
          </cell>
          <cell r="N7" t="str">
            <v>5'1</v>
          </cell>
          <cell r="O7">
            <v>138</v>
          </cell>
          <cell r="P7" t="str">
            <v xml:space="preserve"> </v>
          </cell>
          <cell r="Q7" t="str">
            <v xml:space="preserve"> </v>
          </cell>
          <cell r="R7">
            <v>0</v>
          </cell>
          <cell r="S7" t="str">
            <v xml:space="preserve"> </v>
          </cell>
          <cell r="T7">
            <v>0</v>
          </cell>
          <cell r="U7" t="str">
            <v xml:space="preserve"> </v>
          </cell>
          <cell r="V7" t="str">
            <v xml:space="preserve"> </v>
          </cell>
          <cell r="W7">
            <v>0</v>
          </cell>
          <cell r="X7">
            <v>0</v>
          </cell>
          <cell r="Y7">
            <v>0</v>
          </cell>
          <cell r="Z7">
            <v>0</v>
          </cell>
          <cell r="AA7">
            <v>0</v>
          </cell>
          <cell r="AB7">
            <v>0</v>
          </cell>
          <cell r="AC7">
            <v>1</v>
          </cell>
          <cell r="AD7">
            <v>1</v>
          </cell>
          <cell r="AE7">
            <v>1</v>
          </cell>
          <cell r="AF7">
            <v>0</v>
          </cell>
          <cell r="AG7">
            <v>0</v>
          </cell>
          <cell r="AH7">
            <v>0</v>
          </cell>
          <cell r="AI7">
            <v>0</v>
          </cell>
          <cell r="AJ7">
            <v>0</v>
          </cell>
          <cell r="AK7">
            <v>0</v>
          </cell>
          <cell r="AL7">
            <v>0</v>
          </cell>
          <cell r="AM7">
            <v>0</v>
          </cell>
          <cell r="AN7">
            <v>0</v>
          </cell>
          <cell r="AO7">
            <v>0</v>
          </cell>
          <cell r="AP7">
            <v>0</v>
          </cell>
          <cell r="AQ7" t="str">
            <v xml:space="preserve"> </v>
          </cell>
          <cell r="AR7">
            <v>1</v>
          </cell>
          <cell r="AS7">
            <v>0</v>
          </cell>
          <cell r="AT7">
            <v>1</v>
          </cell>
          <cell r="AU7">
            <v>0</v>
          </cell>
          <cell r="AV7">
            <v>0</v>
          </cell>
          <cell r="AW7">
            <v>0</v>
          </cell>
          <cell r="AX7">
            <v>0</v>
          </cell>
          <cell r="AY7">
            <v>0</v>
          </cell>
          <cell r="AZ7">
            <v>17</v>
          </cell>
          <cell r="BA7">
            <v>0</v>
          </cell>
          <cell r="BB7" t="str">
            <v xml:space="preserve"> </v>
          </cell>
          <cell r="BC7" t="str">
            <v xml:space="preserve"> </v>
          </cell>
          <cell r="BD7">
            <v>3</v>
          </cell>
          <cell r="BE7">
            <v>2</v>
          </cell>
          <cell r="BF7">
            <v>30</v>
          </cell>
          <cell r="BG7">
            <v>4</v>
          </cell>
          <cell r="BH7">
            <v>7</v>
          </cell>
          <cell r="BI7">
            <v>0</v>
          </cell>
          <cell r="BJ7">
            <v>8</v>
          </cell>
          <cell r="BK7">
            <v>0</v>
          </cell>
          <cell r="BL7">
            <v>480</v>
          </cell>
          <cell r="BM7">
            <v>5544</v>
          </cell>
          <cell r="BN7">
            <v>1800</v>
          </cell>
          <cell r="BO7">
            <v>0</v>
          </cell>
          <cell r="BP7">
            <v>7344</v>
          </cell>
          <cell r="BQ7">
            <v>3</v>
          </cell>
          <cell r="BR7">
            <v>7</v>
          </cell>
          <cell r="BS7">
            <v>7</v>
          </cell>
          <cell r="BT7">
            <v>7</v>
          </cell>
          <cell r="BU7">
            <v>6</v>
          </cell>
          <cell r="BV7">
            <v>7</v>
          </cell>
          <cell r="BW7">
            <v>4</v>
          </cell>
          <cell r="BX7">
            <v>5</v>
          </cell>
          <cell r="BY7">
            <v>6</v>
          </cell>
          <cell r="BZ7">
            <v>5</v>
          </cell>
          <cell r="CA7">
            <v>7</v>
          </cell>
          <cell r="CB7">
            <v>6</v>
          </cell>
          <cell r="CC7">
            <v>6</v>
          </cell>
          <cell r="CD7">
            <v>7</v>
          </cell>
          <cell r="CE7">
            <v>6.25</v>
          </cell>
          <cell r="CF7">
            <v>5</v>
          </cell>
          <cell r="CG7">
            <v>6.0833333329999997</v>
          </cell>
          <cell r="CH7">
            <v>7</v>
          </cell>
          <cell r="CI7">
            <v>7</v>
          </cell>
          <cell r="CJ7">
            <v>6</v>
          </cell>
          <cell r="CK7">
            <v>6</v>
          </cell>
          <cell r="CL7">
            <v>2</v>
          </cell>
          <cell r="CM7">
            <v>8</v>
          </cell>
          <cell r="CN7">
            <v>6</v>
          </cell>
          <cell r="CO7">
            <v>7</v>
          </cell>
          <cell r="CP7">
            <v>6</v>
          </cell>
          <cell r="CQ7">
            <v>6</v>
          </cell>
          <cell r="CR7">
            <v>6</v>
          </cell>
          <cell r="CS7">
            <v>8</v>
          </cell>
          <cell r="CT7">
            <v>9</v>
          </cell>
          <cell r="CU7">
            <v>6</v>
          </cell>
          <cell r="CV7">
            <v>6</v>
          </cell>
          <cell r="CW7">
            <v>6</v>
          </cell>
          <cell r="CX7">
            <v>7</v>
          </cell>
          <cell r="CY7">
            <v>2</v>
          </cell>
          <cell r="CZ7">
            <v>9</v>
          </cell>
          <cell r="DA7">
            <v>6</v>
          </cell>
          <cell r="DB7">
            <v>7</v>
          </cell>
          <cell r="DC7">
            <v>133</v>
          </cell>
          <cell r="DD7">
            <v>19</v>
          </cell>
          <cell r="DE7">
            <v>19</v>
          </cell>
          <cell r="DF7">
            <v>19</v>
          </cell>
          <cell r="DG7">
            <v>19</v>
          </cell>
          <cell r="DH7">
            <v>15</v>
          </cell>
          <cell r="DI7">
            <v>18</v>
          </cell>
          <cell r="DJ7">
            <v>24</v>
          </cell>
          <cell r="DK7">
            <v>20</v>
          </cell>
          <cell r="DL7">
            <v>30</v>
          </cell>
          <cell r="DM7">
            <v>25</v>
          </cell>
          <cell r="DN7">
            <v>19</v>
          </cell>
          <cell r="DO7">
            <v>28</v>
          </cell>
          <cell r="DP7">
            <v>10</v>
          </cell>
          <cell r="DQ7">
            <v>1</v>
          </cell>
          <cell r="DR7">
            <v>0</v>
          </cell>
          <cell r="DS7">
            <v>1</v>
          </cell>
          <cell r="DT7">
            <v>0</v>
          </cell>
          <cell r="DU7">
            <v>3</v>
          </cell>
          <cell r="DV7">
            <v>3</v>
          </cell>
          <cell r="DW7">
            <v>0</v>
          </cell>
          <cell r="DX7">
            <v>1</v>
          </cell>
          <cell r="DY7">
            <v>0</v>
          </cell>
          <cell r="DZ7">
            <v>1</v>
          </cell>
          <cell r="EA7">
            <v>2</v>
          </cell>
          <cell r="EB7">
            <v>1</v>
          </cell>
          <cell r="EC7">
            <v>1</v>
          </cell>
          <cell r="ED7">
            <v>1</v>
          </cell>
          <cell r="EE7">
            <v>0</v>
          </cell>
          <cell r="EF7">
            <v>1</v>
          </cell>
          <cell r="EG7">
            <v>1</v>
          </cell>
          <cell r="EH7">
            <v>1</v>
          </cell>
          <cell r="EI7">
            <v>1</v>
          </cell>
          <cell r="EJ7">
            <v>1</v>
          </cell>
          <cell r="EK7">
            <v>1</v>
          </cell>
          <cell r="EL7">
            <v>4</v>
          </cell>
          <cell r="EM7">
            <v>18</v>
          </cell>
          <cell r="EN7">
            <v>20</v>
          </cell>
          <cell r="EO7">
            <v>42</v>
          </cell>
          <cell r="EP7">
            <v>5</v>
          </cell>
          <cell r="EQ7">
            <v>4</v>
          </cell>
          <cell r="ER7">
            <v>3</v>
          </cell>
          <cell r="ES7">
            <v>4</v>
          </cell>
          <cell r="ET7">
            <v>5</v>
          </cell>
          <cell r="EU7">
            <v>5</v>
          </cell>
          <cell r="EV7">
            <v>5</v>
          </cell>
          <cell r="EW7">
            <v>3</v>
          </cell>
          <cell r="EX7">
            <v>1</v>
          </cell>
          <cell r="EY7">
            <v>5</v>
          </cell>
          <cell r="EZ7">
            <v>5</v>
          </cell>
          <cell r="FA7">
            <v>2</v>
          </cell>
          <cell r="FB7">
            <v>2</v>
          </cell>
          <cell r="FC7">
            <v>4</v>
          </cell>
          <cell r="FD7">
            <v>4</v>
          </cell>
          <cell r="FE7">
            <v>5</v>
          </cell>
          <cell r="FF7">
            <v>4</v>
          </cell>
          <cell r="FG7">
            <v>66</v>
          </cell>
          <cell r="FH7">
            <v>3</v>
          </cell>
          <cell r="FI7">
            <v>2</v>
          </cell>
          <cell r="FJ7">
            <v>2</v>
          </cell>
          <cell r="FK7">
            <v>3</v>
          </cell>
          <cell r="FL7">
            <v>2</v>
          </cell>
          <cell r="FM7">
            <v>2</v>
          </cell>
          <cell r="FN7">
            <v>2</v>
          </cell>
          <cell r="FO7">
            <v>4</v>
          </cell>
          <cell r="FP7">
            <v>1</v>
          </cell>
          <cell r="FQ7">
            <v>3</v>
          </cell>
          <cell r="FR7">
            <v>4</v>
          </cell>
          <cell r="FS7">
            <v>1</v>
          </cell>
          <cell r="FT7">
            <v>2</v>
          </cell>
          <cell r="FU7">
            <v>3</v>
          </cell>
          <cell r="FV7">
            <v>2</v>
          </cell>
          <cell r="FW7">
            <v>3</v>
          </cell>
          <cell r="FX7">
            <v>2</v>
          </cell>
          <cell r="FY7">
            <v>2</v>
          </cell>
          <cell r="FZ7">
            <v>4</v>
          </cell>
          <cell r="GA7">
            <v>1</v>
          </cell>
          <cell r="GB7">
            <v>1</v>
          </cell>
          <cell r="GC7">
            <v>25</v>
          </cell>
        </row>
        <row r="8">
          <cell r="A8">
            <v>825</v>
          </cell>
          <cell r="B8">
            <v>2</v>
          </cell>
          <cell r="C8">
            <v>27</v>
          </cell>
          <cell r="D8">
            <v>0</v>
          </cell>
          <cell r="E8" t="str">
            <v xml:space="preserve"> </v>
          </cell>
          <cell r="F8">
            <v>3</v>
          </cell>
          <cell r="G8">
            <v>0</v>
          </cell>
          <cell r="H8" t="str">
            <v xml:space="preserve"> </v>
          </cell>
          <cell r="I8">
            <v>5</v>
          </cell>
          <cell r="J8" t="str">
            <v>Social worker</v>
          </cell>
          <cell r="K8">
            <v>2</v>
          </cell>
          <cell r="L8">
            <v>2</v>
          </cell>
          <cell r="M8" t="str">
            <v xml:space="preserve"> </v>
          </cell>
          <cell r="N8" t="str">
            <v>5'6</v>
          </cell>
          <cell r="O8">
            <v>185</v>
          </cell>
          <cell r="P8" t="str">
            <v xml:space="preserve"> </v>
          </cell>
          <cell r="Q8" t="str">
            <v xml:space="preserve"> </v>
          </cell>
          <cell r="R8">
            <v>0</v>
          </cell>
          <cell r="S8" t="str">
            <v xml:space="preserve"> </v>
          </cell>
          <cell r="T8">
            <v>0</v>
          </cell>
          <cell r="U8" t="str">
            <v xml:space="preserve"> </v>
          </cell>
          <cell r="V8" t="str">
            <v xml:space="preserve"> </v>
          </cell>
          <cell r="W8">
            <v>0</v>
          </cell>
          <cell r="X8">
            <v>0</v>
          </cell>
          <cell r="Y8">
            <v>0</v>
          </cell>
          <cell r="Z8">
            <v>0</v>
          </cell>
          <cell r="AA8">
            <v>0</v>
          </cell>
          <cell r="AB8">
            <v>0</v>
          </cell>
          <cell r="AC8">
            <v>0</v>
          </cell>
          <cell r="AD8">
            <v>1</v>
          </cell>
          <cell r="AE8">
            <v>1</v>
          </cell>
          <cell r="AF8">
            <v>0</v>
          </cell>
          <cell r="AG8">
            <v>0</v>
          </cell>
          <cell r="AH8">
            <v>0</v>
          </cell>
          <cell r="AI8">
            <v>0</v>
          </cell>
          <cell r="AJ8">
            <v>0</v>
          </cell>
          <cell r="AK8">
            <v>0</v>
          </cell>
          <cell r="AL8">
            <v>0</v>
          </cell>
          <cell r="AM8">
            <v>0</v>
          </cell>
          <cell r="AN8">
            <v>0</v>
          </cell>
          <cell r="AO8">
            <v>0</v>
          </cell>
          <cell r="AP8">
            <v>0</v>
          </cell>
          <cell r="AQ8" t="str">
            <v xml:space="preserve"> </v>
          </cell>
          <cell r="AR8">
            <v>1</v>
          </cell>
          <cell r="AS8">
            <v>0</v>
          </cell>
          <cell r="AT8">
            <v>0</v>
          </cell>
          <cell r="AU8">
            <v>1</v>
          </cell>
          <cell r="AV8">
            <v>0</v>
          </cell>
          <cell r="AW8">
            <v>0</v>
          </cell>
          <cell r="AX8">
            <v>0</v>
          </cell>
          <cell r="AY8">
            <v>0</v>
          </cell>
          <cell r="AZ8">
            <v>24</v>
          </cell>
          <cell r="BA8">
            <v>0</v>
          </cell>
          <cell r="BB8" t="str">
            <v xml:space="preserve"> </v>
          </cell>
          <cell r="BC8" t="str">
            <v xml:space="preserve"> </v>
          </cell>
          <cell r="BD8">
            <v>0</v>
          </cell>
          <cell r="BE8" t="str">
            <v xml:space="preserve"> </v>
          </cell>
          <cell r="BF8" t="str">
            <v xml:space="preserve"> </v>
          </cell>
          <cell r="BG8">
            <v>2</v>
          </cell>
          <cell r="BH8">
            <v>0</v>
          </cell>
          <cell r="BI8">
            <v>15</v>
          </cell>
          <cell r="BJ8">
            <v>7</v>
          </cell>
          <cell r="BK8">
            <v>0</v>
          </cell>
          <cell r="BL8">
            <v>420</v>
          </cell>
          <cell r="BM8">
            <v>99</v>
          </cell>
          <cell r="BN8">
            <v>0</v>
          </cell>
          <cell r="BO8">
            <v>0</v>
          </cell>
          <cell r="BP8">
            <v>99</v>
          </cell>
          <cell r="BQ8">
            <v>1</v>
          </cell>
          <cell r="BR8">
            <v>3</v>
          </cell>
          <cell r="BS8">
            <v>5</v>
          </cell>
          <cell r="BT8">
            <v>7</v>
          </cell>
          <cell r="BU8">
            <v>6</v>
          </cell>
          <cell r="BV8">
            <v>3</v>
          </cell>
          <cell r="BW8">
            <v>2</v>
          </cell>
          <cell r="BX8">
            <v>1</v>
          </cell>
          <cell r="BY8">
            <v>5</v>
          </cell>
          <cell r="BZ8">
            <v>1</v>
          </cell>
          <cell r="CA8">
            <v>3</v>
          </cell>
          <cell r="CB8">
            <v>7</v>
          </cell>
          <cell r="CC8">
            <v>2</v>
          </cell>
          <cell r="CD8">
            <v>3.5</v>
          </cell>
          <cell r="CE8">
            <v>6.25</v>
          </cell>
          <cell r="CF8">
            <v>1.5</v>
          </cell>
          <cell r="CG8">
            <v>3.75</v>
          </cell>
          <cell r="CH8">
            <v>9</v>
          </cell>
          <cell r="CI8">
            <v>2</v>
          </cell>
          <cell r="CJ8">
            <v>7</v>
          </cell>
          <cell r="CK8">
            <v>3</v>
          </cell>
          <cell r="CL8">
            <v>1</v>
          </cell>
          <cell r="CM8">
            <v>9</v>
          </cell>
          <cell r="CN8">
            <v>7</v>
          </cell>
          <cell r="CO8">
            <v>2</v>
          </cell>
          <cell r="CP8">
            <v>3</v>
          </cell>
          <cell r="CQ8">
            <v>9</v>
          </cell>
          <cell r="CR8">
            <v>2</v>
          </cell>
          <cell r="CS8">
            <v>9</v>
          </cell>
          <cell r="CT8">
            <v>9</v>
          </cell>
          <cell r="CU8">
            <v>9</v>
          </cell>
          <cell r="CV8">
            <v>6</v>
          </cell>
          <cell r="CW8">
            <v>8</v>
          </cell>
          <cell r="CX8">
            <v>9</v>
          </cell>
          <cell r="CY8">
            <v>9</v>
          </cell>
          <cell r="CZ8">
            <v>1</v>
          </cell>
          <cell r="DA8">
            <v>2</v>
          </cell>
          <cell r="DB8">
            <v>2</v>
          </cell>
          <cell r="DC8">
            <v>118</v>
          </cell>
          <cell r="DD8">
            <v>20</v>
          </cell>
          <cell r="DE8">
            <v>27</v>
          </cell>
          <cell r="DF8">
            <v>16</v>
          </cell>
          <cell r="DG8">
            <v>17</v>
          </cell>
          <cell r="DH8">
            <v>5</v>
          </cell>
          <cell r="DI8">
            <v>14</v>
          </cell>
          <cell r="DJ8">
            <v>19</v>
          </cell>
          <cell r="DK8">
            <v>21</v>
          </cell>
          <cell r="DL8">
            <v>20</v>
          </cell>
          <cell r="DM8">
            <v>19</v>
          </cell>
          <cell r="DN8">
            <v>12</v>
          </cell>
          <cell r="DO8">
            <v>34</v>
          </cell>
          <cell r="DP8">
            <v>19</v>
          </cell>
          <cell r="DQ8">
            <v>2</v>
          </cell>
          <cell r="DR8">
            <v>2</v>
          </cell>
          <cell r="DS8">
            <v>1</v>
          </cell>
          <cell r="DT8">
            <v>1</v>
          </cell>
          <cell r="DU8">
            <v>3</v>
          </cell>
          <cell r="DV8">
            <v>2</v>
          </cell>
          <cell r="DW8">
            <v>0</v>
          </cell>
          <cell r="DX8">
            <v>1</v>
          </cell>
          <cell r="DY8">
            <v>3</v>
          </cell>
          <cell r="DZ8">
            <v>2</v>
          </cell>
          <cell r="EA8">
            <v>2</v>
          </cell>
          <cell r="EB8">
            <v>2</v>
          </cell>
          <cell r="EC8">
            <v>3</v>
          </cell>
          <cell r="ED8">
            <v>2</v>
          </cell>
          <cell r="EE8">
            <v>3</v>
          </cell>
          <cell r="EF8">
            <v>2</v>
          </cell>
          <cell r="EG8">
            <v>1</v>
          </cell>
          <cell r="EH8">
            <v>2</v>
          </cell>
          <cell r="EI8">
            <v>2</v>
          </cell>
          <cell r="EJ8">
            <v>2</v>
          </cell>
          <cell r="EK8">
            <v>1</v>
          </cell>
          <cell r="EL8">
            <v>26</v>
          </cell>
          <cell r="EM8">
            <v>26</v>
          </cell>
          <cell r="EN8">
            <v>26</v>
          </cell>
          <cell r="EO8">
            <v>78</v>
          </cell>
          <cell r="EP8">
            <v>5</v>
          </cell>
          <cell r="EQ8">
            <v>5</v>
          </cell>
          <cell r="ER8">
            <v>5</v>
          </cell>
          <cell r="ES8">
            <v>3</v>
          </cell>
          <cell r="ET8">
            <v>5</v>
          </cell>
          <cell r="EU8">
            <v>2</v>
          </cell>
          <cell r="EV8">
            <v>5</v>
          </cell>
          <cell r="EW8">
            <v>1</v>
          </cell>
          <cell r="EX8">
            <v>1</v>
          </cell>
          <cell r="EY8">
            <v>5</v>
          </cell>
          <cell r="EZ8">
            <v>1</v>
          </cell>
          <cell r="FA8">
            <v>3</v>
          </cell>
          <cell r="FB8">
            <v>3</v>
          </cell>
          <cell r="FC8">
            <v>2</v>
          </cell>
          <cell r="FD8">
            <v>2</v>
          </cell>
          <cell r="FE8">
            <v>3</v>
          </cell>
          <cell r="FF8">
            <v>1</v>
          </cell>
          <cell r="FG8">
            <v>52</v>
          </cell>
          <cell r="FH8">
            <v>3</v>
          </cell>
          <cell r="FI8">
            <v>2</v>
          </cell>
          <cell r="FJ8">
            <v>3</v>
          </cell>
          <cell r="FK8">
            <v>1</v>
          </cell>
          <cell r="FL8">
            <v>4</v>
          </cell>
          <cell r="FM8">
            <v>2</v>
          </cell>
          <cell r="FN8">
            <v>1</v>
          </cell>
          <cell r="FO8">
            <v>4</v>
          </cell>
          <cell r="FP8">
            <v>1</v>
          </cell>
          <cell r="FQ8">
            <v>2</v>
          </cell>
          <cell r="FR8">
            <v>4</v>
          </cell>
          <cell r="FS8">
            <v>1</v>
          </cell>
          <cell r="FT8">
            <v>2</v>
          </cell>
          <cell r="FU8">
            <v>3</v>
          </cell>
          <cell r="FV8">
            <v>2</v>
          </cell>
          <cell r="FW8">
            <v>3</v>
          </cell>
          <cell r="FX8">
            <v>2</v>
          </cell>
          <cell r="FY8">
            <v>1</v>
          </cell>
          <cell r="FZ8">
            <v>3</v>
          </cell>
          <cell r="GA8">
            <v>2</v>
          </cell>
          <cell r="GB8">
            <v>1</v>
          </cell>
          <cell r="GC8">
            <v>26</v>
          </cell>
        </row>
        <row r="9">
          <cell r="A9">
            <v>829</v>
          </cell>
          <cell r="B9">
            <v>0</v>
          </cell>
          <cell r="C9">
            <v>66</v>
          </cell>
          <cell r="D9">
            <v>0</v>
          </cell>
          <cell r="E9" t="str">
            <v xml:space="preserve"> </v>
          </cell>
          <cell r="F9">
            <v>1</v>
          </cell>
          <cell r="G9">
            <v>1</v>
          </cell>
          <cell r="H9">
            <v>1</v>
          </cell>
          <cell r="I9">
            <v>4</v>
          </cell>
          <cell r="J9" t="str">
            <v xml:space="preserve"> </v>
          </cell>
          <cell r="K9">
            <v>2</v>
          </cell>
          <cell r="L9">
            <v>5</v>
          </cell>
          <cell r="M9" t="str">
            <v xml:space="preserve"> </v>
          </cell>
          <cell r="N9" t="str">
            <v>5'11/2</v>
          </cell>
          <cell r="O9">
            <v>115</v>
          </cell>
          <cell r="P9" t="str">
            <v xml:space="preserve"> </v>
          </cell>
          <cell r="Q9" t="str">
            <v xml:space="preserve"> </v>
          </cell>
          <cell r="R9">
            <v>0</v>
          </cell>
          <cell r="S9">
            <v>1</v>
          </cell>
          <cell r="T9">
            <v>0</v>
          </cell>
          <cell r="U9" t="str">
            <v xml:space="preserve"> </v>
          </cell>
          <cell r="V9" t="str">
            <v xml:space="preserve"> </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t="str">
            <v xml:space="preserve"> </v>
          </cell>
          <cell r="AR9">
            <v>0</v>
          </cell>
          <cell r="AS9">
            <v>0</v>
          </cell>
          <cell r="AT9">
            <v>0</v>
          </cell>
          <cell r="AU9">
            <v>0</v>
          </cell>
          <cell r="AV9">
            <v>0</v>
          </cell>
          <cell r="AW9">
            <v>0</v>
          </cell>
          <cell r="AX9">
            <v>0</v>
          </cell>
          <cell r="AY9">
            <v>0</v>
          </cell>
          <cell r="AZ9">
            <v>0</v>
          </cell>
          <cell r="BA9">
            <v>3</v>
          </cell>
          <cell r="BB9">
            <v>1</v>
          </cell>
          <cell r="BC9" t="str">
            <v xml:space="preserve"> </v>
          </cell>
          <cell r="BD9">
            <v>2</v>
          </cell>
          <cell r="BE9">
            <v>2</v>
          </cell>
          <cell r="BF9">
            <v>20</v>
          </cell>
          <cell r="BG9">
            <v>7</v>
          </cell>
          <cell r="BH9">
            <v>2</v>
          </cell>
          <cell r="BI9">
            <v>10</v>
          </cell>
          <cell r="BJ9">
            <v>4</v>
          </cell>
          <cell r="BK9">
            <v>15</v>
          </cell>
          <cell r="BL9">
            <v>255</v>
          </cell>
          <cell r="BM9">
            <v>3003</v>
          </cell>
          <cell r="BN9">
            <v>1120</v>
          </cell>
          <cell r="BO9">
            <v>1440</v>
          </cell>
          <cell r="BP9">
            <v>5563</v>
          </cell>
          <cell r="BQ9">
            <v>3</v>
          </cell>
          <cell r="BR9">
            <v>7</v>
          </cell>
          <cell r="BS9">
            <v>6</v>
          </cell>
          <cell r="BT9">
            <v>6</v>
          </cell>
          <cell r="BU9">
            <v>6</v>
          </cell>
          <cell r="BV9">
            <v>6</v>
          </cell>
          <cell r="BW9">
            <v>6</v>
          </cell>
          <cell r="BX9">
            <v>6</v>
          </cell>
          <cell r="BY9">
            <v>6</v>
          </cell>
          <cell r="BZ9">
            <v>6</v>
          </cell>
          <cell r="CA9">
            <v>6</v>
          </cell>
          <cell r="CB9">
            <v>6</v>
          </cell>
          <cell r="CC9">
            <v>6</v>
          </cell>
          <cell r="CD9">
            <v>6.25</v>
          </cell>
          <cell r="CE9">
            <v>6</v>
          </cell>
          <cell r="CF9">
            <v>6</v>
          </cell>
          <cell r="CG9">
            <v>6.0833333329999997</v>
          </cell>
          <cell r="CH9">
            <v>6</v>
          </cell>
          <cell r="CI9">
            <v>8</v>
          </cell>
          <cell r="CJ9">
            <v>7</v>
          </cell>
          <cell r="CK9">
            <v>8</v>
          </cell>
          <cell r="CL9">
            <v>8</v>
          </cell>
          <cell r="CM9">
            <v>8</v>
          </cell>
          <cell r="CN9">
            <v>8</v>
          </cell>
          <cell r="CO9">
            <v>8</v>
          </cell>
          <cell r="CP9">
            <v>7</v>
          </cell>
          <cell r="CQ9">
            <v>7</v>
          </cell>
          <cell r="CR9">
            <v>8</v>
          </cell>
          <cell r="CS9">
            <v>8</v>
          </cell>
          <cell r="CT9">
            <v>8</v>
          </cell>
          <cell r="CU9">
            <v>8</v>
          </cell>
          <cell r="CV9">
            <v>8</v>
          </cell>
          <cell r="CW9">
            <v>6</v>
          </cell>
          <cell r="CX9">
            <v>8</v>
          </cell>
          <cell r="CY9">
            <v>8</v>
          </cell>
          <cell r="CZ9">
            <v>7</v>
          </cell>
          <cell r="DA9">
            <v>8</v>
          </cell>
          <cell r="DB9">
            <v>8</v>
          </cell>
          <cell r="DC9">
            <v>160</v>
          </cell>
          <cell r="DD9">
            <v>19</v>
          </cell>
          <cell r="DE9">
            <v>24</v>
          </cell>
          <cell r="DF9">
            <v>23</v>
          </cell>
          <cell r="DG9">
            <v>23</v>
          </cell>
          <cell r="DH9">
            <v>24</v>
          </cell>
          <cell r="DI9">
            <v>24</v>
          </cell>
          <cell r="DJ9">
            <v>23</v>
          </cell>
          <cell r="DK9">
            <v>24</v>
          </cell>
          <cell r="DL9">
            <v>30</v>
          </cell>
          <cell r="DM9">
            <v>29</v>
          </cell>
          <cell r="DN9">
            <v>22</v>
          </cell>
          <cell r="DO9">
            <v>29</v>
          </cell>
          <cell r="DP9">
            <v>23</v>
          </cell>
          <cell r="DQ9">
            <v>1</v>
          </cell>
          <cell r="DR9">
            <v>1</v>
          </cell>
          <cell r="DS9">
            <v>0</v>
          </cell>
          <cell r="DT9">
            <v>0</v>
          </cell>
          <cell r="DU9">
            <v>0</v>
          </cell>
          <cell r="DV9">
            <v>1</v>
          </cell>
          <cell r="DW9">
            <v>0</v>
          </cell>
          <cell r="DX9">
            <v>0</v>
          </cell>
          <cell r="DY9">
            <v>0</v>
          </cell>
          <cell r="DZ9">
            <v>0</v>
          </cell>
          <cell r="EA9">
            <v>0</v>
          </cell>
          <cell r="EB9">
            <v>0</v>
          </cell>
          <cell r="EC9">
            <v>0</v>
          </cell>
          <cell r="ED9">
            <v>0</v>
          </cell>
          <cell r="EE9">
            <v>0</v>
          </cell>
          <cell r="EF9">
            <v>0</v>
          </cell>
          <cell r="EG9">
            <v>0</v>
          </cell>
          <cell r="EH9">
            <v>0</v>
          </cell>
          <cell r="EI9">
            <v>0</v>
          </cell>
          <cell r="EJ9">
            <v>0</v>
          </cell>
          <cell r="EK9">
            <v>0</v>
          </cell>
          <cell r="EL9">
            <v>2</v>
          </cell>
          <cell r="EM9">
            <v>0</v>
          </cell>
          <cell r="EN9">
            <v>4</v>
          </cell>
          <cell r="EO9">
            <v>6</v>
          </cell>
          <cell r="EP9">
            <v>5</v>
          </cell>
          <cell r="EQ9">
            <v>5</v>
          </cell>
          <cell r="ER9">
            <v>5</v>
          </cell>
          <cell r="ES9">
            <v>5</v>
          </cell>
          <cell r="ET9">
            <v>5</v>
          </cell>
          <cell r="EU9">
            <v>2</v>
          </cell>
          <cell r="EV9">
            <v>5</v>
          </cell>
          <cell r="EW9">
            <v>5</v>
          </cell>
          <cell r="EX9">
            <v>1</v>
          </cell>
          <cell r="EY9">
            <v>5</v>
          </cell>
          <cell r="EZ9">
            <v>5</v>
          </cell>
          <cell r="FA9">
            <v>2</v>
          </cell>
          <cell r="FB9">
            <v>2</v>
          </cell>
          <cell r="FC9">
            <v>2</v>
          </cell>
          <cell r="FD9">
            <v>1</v>
          </cell>
          <cell r="FE9">
            <v>3</v>
          </cell>
          <cell r="FF9">
            <v>2</v>
          </cell>
          <cell r="FG9">
            <v>60</v>
          </cell>
          <cell r="FH9">
            <v>3</v>
          </cell>
          <cell r="FI9">
            <v>2</v>
          </cell>
          <cell r="FJ9">
            <v>1</v>
          </cell>
          <cell r="FK9">
            <v>4</v>
          </cell>
          <cell r="FL9">
            <v>1</v>
          </cell>
          <cell r="FM9">
            <v>1</v>
          </cell>
          <cell r="FN9">
            <v>1</v>
          </cell>
          <cell r="FO9">
            <v>4</v>
          </cell>
          <cell r="FP9">
            <v>1</v>
          </cell>
          <cell r="FQ9">
            <v>2</v>
          </cell>
          <cell r="FR9">
            <v>3</v>
          </cell>
          <cell r="FS9">
            <v>2</v>
          </cell>
          <cell r="FT9">
            <v>1</v>
          </cell>
          <cell r="FU9">
            <v>4</v>
          </cell>
          <cell r="FV9">
            <v>1</v>
          </cell>
          <cell r="FW9">
            <v>4</v>
          </cell>
          <cell r="FX9">
            <v>1</v>
          </cell>
          <cell r="FY9">
            <v>1</v>
          </cell>
          <cell r="FZ9">
            <v>3</v>
          </cell>
          <cell r="GA9">
            <v>2</v>
          </cell>
          <cell r="GB9">
            <v>1</v>
          </cell>
          <cell r="GC9">
            <v>18</v>
          </cell>
        </row>
        <row r="10">
          <cell r="A10">
            <v>831</v>
          </cell>
          <cell r="B10">
            <v>2</v>
          </cell>
          <cell r="C10">
            <v>47</v>
          </cell>
          <cell r="D10">
            <v>1</v>
          </cell>
          <cell r="E10" t="str">
            <v xml:space="preserve"> </v>
          </cell>
          <cell r="F10">
            <v>1</v>
          </cell>
          <cell r="G10">
            <v>1</v>
          </cell>
          <cell r="H10">
            <v>2</v>
          </cell>
          <cell r="I10">
            <v>2</v>
          </cell>
          <cell r="J10" t="str">
            <v>CONSTRUCTION MANAGER</v>
          </cell>
          <cell r="K10">
            <v>2</v>
          </cell>
          <cell r="L10">
            <v>5</v>
          </cell>
          <cell r="M10" t="str">
            <v xml:space="preserve"> </v>
          </cell>
          <cell r="N10" t="str">
            <v>5'7"</v>
          </cell>
          <cell r="O10">
            <v>184</v>
          </cell>
          <cell r="P10" t="str">
            <v xml:space="preserve"> </v>
          </cell>
          <cell r="Q10" t="str">
            <v xml:space="preserve"> </v>
          </cell>
          <cell r="R10" t="str">
            <v xml:space="preserve"> </v>
          </cell>
          <cell r="S10" t="str">
            <v xml:space="preserve"> </v>
          </cell>
          <cell r="T10">
            <v>0</v>
          </cell>
          <cell r="U10" t="str">
            <v xml:space="preserve"> </v>
          </cell>
          <cell r="V10" t="str">
            <v xml:space="preserve"> </v>
          </cell>
          <cell r="W10">
            <v>0</v>
          </cell>
          <cell r="X10">
            <v>0</v>
          </cell>
          <cell r="Y10">
            <v>0</v>
          </cell>
          <cell r="Z10">
            <v>0</v>
          </cell>
          <cell r="AA10">
            <v>0</v>
          </cell>
          <cell r="AB10">
            <v>0</v>
          </cell>
          <cell r="AC10">
            <v>0</v>
          </cell>
          <cell r="AD10">
            <v>0</v>
          </cell>
          <cell r="AE10">
            <v>1</v>
          </cell>
          <cell r="AF10">
            <v>0</v>
          </cell>
          <cell r="AG10">
            <v>0</v>
          </cell>
          <cell r="AH10">
            <v>0</v>
          </cell>
          <cell r="AI10">
            <v>0</v>
          </cell>
          <cell r="AJ10">
            <v>0</v>
          </cell>
          <cell r="AK10">
            <v>0</v>
          </cell>
          <cell r="AL10">
            <v>0</v>
          </cell>
          <cell r="AM10">
            <v>0</v>
          </cell>
          <cell r="AN10">
            <v>0</v>
          </cell>
          <cell r="AO10">
            <v>0</v>
          </cell>
          <cell r="AP10">
            <v>0</v>
          </cell>
          <cell r="AQ10" t="str">
            <v xml:space="preserve"> </v>
          </cell>
          <cell r="AR10">
            <v>1</v>
          </cell>
          <cell r="AS10">
            <v>0</v>
          </cell>
          <cell r="AT10">
            <v>0</v>
          </cell>
          <cell r="AU10">
            <v>0</v>
          </cell>
          <cell r="AV10">
            <v>1</v>
          </cell>
          <cell r="AW10">
            <v>0</v>
          </cell>
          <cell r="AX10">
            <v>0</v>
          </cell>
          <cell r="AY10">
            <v>0</v>
          </cell>
          <cell r="AZ10">
            <v>22</v>
          </cell>
          <cell r="BA10">
            <v>6</v>
          </cell>
          <cell r="BB10">
            <v>2</v>
          </cell>
          <cell r="BC10" t="str">
            <v xml:space="preserve"> </v>
          </cell>
          <cell r="BD10">
            <v>7</v>
          </cell>
          <cell r="BE10">
            <v>2</v>
          </cell>
          <cell r="BF10">
            <v>0</v>
          </cell>
          <cell r="BG10">
            <v>7</v>
          </cell>
          <cell r="BH10">
            <v>2</v>
          </cell>
          <cell r="BI10">
            <v>0</v>
          </cell>
          <cell r="BJ10">
            <v>16</v>
          </cell>
          <cell r="BK10">
            <v>0</v>
          </cell>
          <cell r="BL10">
            <v>960</v>
          </cell>
          <cell r="BM10">
            <v>2772</v>
          </cell>
          <cell r="BN10">
            <v>3360</v>
          </cell>
          <cell r="BO10">
            <v>5760</v>
          </cell>
          <cell r="BP10">
            <v>11892</v>
          </cell>
          <cell r="BQ10">
            <v>3</v>
          </cell>
          <cell r="BR10">
            <v>7</v>
          </cell>
          <cell r="BS10">
            <v>7</v>
          </cell>
          <cell r="BT10">
            <v>7</v>
          </cell>
          <cell r="BU10">
            <v>7</v>
          </cell>
          <cell r="BV10">
            <v>7</v>
          </cell>
          <cell r="BW10">
            <v>7</v>
          </cell>
          <cell r="BX10">
            <v>7</v>
          </cell>
          <cell r="BY10">
            <v>7</v>
          </cell>
          <cell r="BZ10">
            <v>7</v>
          </cell>
          <cell r="CA10">
            <v>7</v>
          </cell>
          <cell r="CB10">
            <v>7</v>
          </cell>
          <cell r="CC10">
            <v>7</v>
          </cell>
          <cell r="CD10">
            <v>7</v>
          </cell>
          <cell r="CE10">
            <v>7</v>
          </cell>
          <cell r="CF10">
            <v>7</v>
          </cell>
          <cell r="CG10">
            <v>7</v>
          </cell>
          <cell r="CH10">
            <v>5</v>
          </cell>
          <cell r="CI10">
            <v>8</v>
          </cell>
          <cell r="CJ10">
            <v>9</v>
          </cell>
          <cell r="CK10">
            <v>5</v>
          </cell>
          <cell r="CL10">
            <v>6</v>
          </cell>
          <cell r="CM10">
            <v>5</v>
          </cell>
          <cell r="CN10">
            <v>8</v>
          </cell>
          <cell r="CO10">
            <v>1</v>
          </cell>
          <cell r="CP10">
            <v>6</v>
          </cell>
          <cell r="CQ10">
            <v>1</v>
          </cell>
          <cell r="CR10">
            <v>8</v>
          </cell>
          <cell r="CS10">
            <v>9</v>
          </cell>
          <cell r="CT10">
            <v>2</v>
          </cell>
          <cell r="CU10">
            <v>2</v>
          </cell>
          <cell r="CV10">
            <v>1</v>
          </cell>
          <cell r="CW10">
            <v>1</v>
          </cell>
          <cell r="CX10">
            <v>9</v>
          </cell>
          <cell r="CY10">
            <v>2</v>
          </cell>
          <cell r="CZ10">
            <v>8</v>
          </cell>
          <cell r="DA10">
            <v>9</v>
          </cell>
          <cell r="DB10">
            <v>6</v>
          </cell>
          <cell r="DC10">
            <v>111</v>
          </cell>
          <cell r="DD10">
            <v>12</v>
          </cell>
          <cell r="DE10">
            <v>9</v>
          </cell>
          <cell r="DF10">
            <v>23</v>
          </cell>
          <cell r="DG10">
            <v>3</v>
          </cell>
          <cell r="DH10">
            <v>23</v>
          </cell>
          <cell r="DI10">
            <v>15</v>
          </cell>
          <cell r="DJ10">
            <v>26</v>
          </cell>
          <cell r="DK10">
            <v>16</v>
          </cell>
          <cell r="DL10">
            <v>24</v>
          </cell>
          <cell r="DM10">
            <v>25</v>
          </cell>
          <cell r="DN10">
            <v>10</v>
          </cell>
          <cell r="DO10">
            <v>28</v>
          </cell>
          <cell r="DP10">
            <v>9</v>
          </cell>
          <cell r="DQ10">
            <v>2</v>
          </cell>
          <cell r="DR10">
            <v>0</v>
          </cell>
          <cell r="DS10">
            <v>1</v>
          </cell>
          <cell r="DT10">
            <v>0</v>
          </cell>
          <cell r="DU10">
            <v>1</v>
          </cell>
          <cell r="DV10">
            <v>2</v>
          </cell>
          <cell r="DW10">
            <v>0</v>
          </cell>
          <cell r="DX10">
            <v>1</v>
          </cell>
          <cell r="DY10">
            <v>0</v>
          </cell>
          <cell r="DZ10">
            <v>2</v>
          </cell>
          <cell r="EA10">
            <v>2</v>
          </cell>
          <cell r="EB10">
            <v>3</v>
          </cell>
          <cell r="EC10">
            <v>2</v>
          </cell>
          <cell r="ED10">
            <v>0</v>
          </cell>
          <cell r="EE10">
            <v>0</v>
          </cell>
          <cell r="EF10">
            <v>2</v>
          </cell>
          <cell r="EG10">
            <v>2</v>
          </cell>
          <cell r="EH10">
            <v>0</v>
          </cell>
          <cell r="EI10">
            <v>0</v>
          </cell>
          <cell r="EJ10">
            <v>0</v>
          </cell>
          <cell r="EK10">
            <v>2</v>
          </cell>
          <cell r="EL10">
            <v>0</v>
          </cell>
          <cell r="EM10">
            <v>24</v>
          </cell>
          <cell r="EN10">
            <v>20</v>
          </cell>
          <cell r="EO10">
            <v>44</v>
          </cell>
          <cell r="EP10">
            <v>3</v>
          </cell>
          <cell r="EQ10">
            <v>3</v>
          </cell>
          <cell r="ER10">
            <v>3</v>
          </cell>
          <cell r="ES10">
            <v>3</v>
          </cell>
          <cell r="ET10">
            <v>3</v>
          </cell>
          <cell r="EU10">
            <v>3</v>
          </cell>
          <cell r="EV10">
            <v>3</v>
          </cell>
          <cell r="EW10">
            <v>5</v>
          </cell>
          <cell r="EX10">
            <v>1</v>
          </cell>
          <cell r="EY10">
            <v>3</v>
          </cell>
          <cell r="EZ10">
            <v>3</v>
          </cell>
          <cell r="FA10">
            <v>3</v>
          </cell>
          <cell r="FB10">
            <v>3</v>
          </cell>
          <cell r="FC10">
            <v>2</v>
          </cell>
          <cell r="FD10">
            <v>2</v>
          </cell>
          <cell r="FE10">
            <v>3</v>
          </cell>
          <cell r="FF10">
            <v>3</v>
          </cell>
          <cell r="FG10">
            <v>49</v>
          </cell>
          <cell r="FH10">
            <v>2</v>
          </cell>
          <cell r="FI10">
            <v>3</v>
          </cell>
          <cell r="FJ10">
            <v>3</v>
          </cell>
          <cell r="FK10">
            <v>2</v>
          </cell>
          <cell r="FL10">
            <v>3</v>
          </cell>
          <cell r="FM10">
            <v>3</v>
          </cell>
          <cell r="FN10">
            <v>2</v>
          </cell>
          <cell r="FO10">
            <v>1</v>
          </cell>
          <cell r="FP10">
            <v>4</v>
          </cell>
          <cell r="FQ10">
            <v>4</v>
          </cell>
          <cell r="FR10">
            <v>1</v>
          </cell>
          <cell r="FS10">
            <v>4</v>
          </cell>
          <cell r="FT10">
            <v>3</v>
          </cell>
          <cell r="FU10">
            <v>2</v>
          </cell>
          <cell r="FV10">
            <v>3</v>
          </cell>
          <cell r="FW10">
            <v>2</v>
          </cell>
          <cell r="FX10">
            <v>3</v>
          </cell>
          <cell r="FY10">
            <v>3</v>
          </cell>
          <cell r="FZ10">
            <v>4</v>
          </cell>
          <cell r="GA10">
            <v>1</v>
          </cell>
          <cell r="GB10">
            <v>4</v>
          </cell>
          <cell r="GC10">
            <v>43</v>
          </cell>
        </row>
        <row r="11">
          <cell r="A11">
            <v>833</v>
          </cell>
          <cell r="B11">
            <v>0</v>
          </cell>
          <cell r="C11">
            <v>59</v>
          </cell>
          <cell r="D11">
            <v>0</v>
          </cell>
          <cell r="E11" t="str">
            <v xml:space="preserve"> </v>
          </cell>
          <cell r="F11">
            <v>1</v>
          </cell>
          <cell r="G11">
            <v>1</v>
          </cell>
          <cell r="H11">
            <v>4</v>
          </cell>
          <cell r="I11">
            <v>2</v>
          </cell>
          <cell r="J11" t="str">
            <v>Bookkeeper</v>
          </cell>
          <cell r="K11">
            <v>2</v>
          </cell>
          <cell r="L11">
            <v>5</v>
          </cell>
          <cell r="M11" t="str">
            <v xml:space="preserve"> </v>
          </cell>
          <cell r="N11" t="str">
            <v>5' 6"</v>
          </cell>
          <cell r="O11">
            <v>142</v>
          </cell>
          <cell r="P11" t="str">
            <v xml:space="preserve"> </v>
          </cell>
          <cell r="Q11" t="str">
            <v xml:space="preserve"> </v>
          </cell>
          <cell r="R11">
            <v>1</v>
          </cell>
          <cell r="S11">
            <v>1</v>
          </cell>
          <cell r="T11">
            <v>0</v>
          </cell>
          <cell r="U11" t="str">
            <v xml:space="preserve"> </v>
          </cell>
          <cell r="V11" t="str">
            <v xml:space="preserve"> </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t="str">
            <v xml:space="preserve"> </v>
          </cell>
          <cell r="AR11">
            <v>0</v>
          </cell>
          <cell r="AS11">
            <v>0</v>
          </cell>
          <cell r="AT11">
            <v>0</v>
          </cell>
          <cell r="AU11">
            <v>0</v>
          </cell>
          <cell r="AV11">
            <v>0</v>
          </cell>
          <cell r="AW11">
            <v>0</v>
          </cell>
          <cell r="AX11">
            <v>0</v>
          </cell>
          <cell r="AY11">
            <v>0</v>
          </cell>
          <cell r="AZ11">
            <v>0</v>
          </cell>
          <cell r="BA11">
            <v>0</v>
          </cell>
          <cell r="BB11" t="str">
            <v xml:space="preserve"> </v>
          </cell>
          <cell r="BC11" t="str">
            <v xml:space="preserve"> </v>
          </cell>
          <cell r="BD11">
            <v>7</v>
          </cell>
          <cell r="BE11">
            <v>2</v>
          </cell>
          <cell r="BF11">
            <v>0</v>
          </cell>
          <cell r="BG11">
            <v>4</v>
          </cell>
          <cell r="BH11">
            <v>1.5</v>
          </cell>
          <cell r="BI11">
            <v>0</v>
          </cell>
          <cell r="BJ11">
            <v>7</v>
          </cell>
          <cell r="BK11">
            <v>0</v>
          </cell>
          <cell r="BL11">
            <v>420</v>
          </cell>
          <cell r="BM11">
            <v>1188</v>
          </cell>
          <cell r="BN11">
            <v>3360</v>
          </cell>
          <cell r="BO11">
            <v>0</v>
          </cell>
          <cell r="BP11">
            <v>4548</v>
          </cell>
          <cell r="BQ11">
            <v>3</v>
          </cell>
          <cell r="BR11">
            <v>7</v>
          </cell>
          <cell r="BS11">
            <v>7</v>
          </cell>
          <cell r="BT11">
            <v>6</v>
          </cell>
          <cell r="BU11">
            <v>7</v>
          </cell>
          <cell r="BV11">
            <v>7</v>
          </cell>
          <cell r="BW11">
            <v>6</v>
          </cell>
          <cell r="BX11">
            <v>6</v>
          </cell>
          <cell r="BY11">
            <v>7</v>
          </cell>
          <cell r="BZ11">
            <v>7</v>
          </cell>
          <cell r="CA11">
            <v>7</v>
          </cell>
          <cell r="CB11">
            <v>7</v>
          </cell>
          <cell r="CC11">
            <v>6</v>
          </cell>
          <cell r="CD11">
            <v>7</v>
          </cell>
          <cell r="CE11">
            <v>6.75</v>
          </cell>
          <cell r="CF11">
            <v>6.25</v>
          </cell>
          <cell r="CG11">
            <v>6.6666666670000003</v>
          </cell>
          <cell r="CH11">
            <v>7</v>
          </cell>
          <cell r="CI11">
            <v>8</v>
          </cell>
          <cell r="CJ11">
            <v>8</v>
          </cell>
          <cell r="CK11">
            <v>9</v>
          </cell>
          <cell r="CL11">
            <v>9</v>
          </cell>
          <cell r="CM11">
            <v>9</v>
          </cell>
          <cell r="CN11">
            <v>8</v>
          </cell>
          <cell r="CO11">
            <v>8</v>
          </cell>
          <cell r="CP11">
            <v>8</v>
          </cell>
          <cell r="CQ11">
            <v>8</v>
          </cell>
          <cell r="CR11">
            <v>9</v>
          </cell>
          <cell r="CS11">
            <v>9</v>
          </cell>
          <cell r="CT11">
            <v>9</v>
          </cell>
          <cell r="CU11">
            <v>9</v>
          </cell>
          <cell r="CV11">
            <v>9</v>
          </cell>
          <cell r="CW11">
            <v>8</v>
          </cell>
          <cell r="CX11">
            <v>8</v>
          </cell>
          <cell r="CY11">
            <v>9</v>
          </cell>
          <cell r="CZ11">
            <v>9</v>
          </cell>
          <cell r="DA11">
            <v>8</v>
          </cell>
          <cell r="DB11">
            <v>8</v>
          </cell>
          <cell r="DC11">
            <v>177</v>
          </cell>
          <cell r="DD11">
            <v>23</v>
          </cell>
          <cell r="DE11">
            <v>27</v>
          </cell>
          <cell r="DF11">
            <v>24</v>
          </cell>
          <cell r="DG11">
            <v>25</v>
          </cell>
          <cell r="DH11">
            <v>25</v>
          </cell>
          <cell r="DI11">
            <v>27</v>
          </cell>
          <cell r="DJ11">
            <v>26</v>
          </cell>
          <cell r="DK11">
            <v>27</v>
          </cell>
          <cell r="DL11">
            <v>34</v>
          </cell>
          <cell r="DM11">
            <v>32</v>
          </cell>
          <cell r="DN11">
            <v>25</v>
          </cell>
          <cell r="DO11">
            <v>32</v>
          </cell>
          <cell r="DP11">
            <v>26</v>
          </cell>
          <cell r="DQ11">
            <v>1</v>
          </cell>
          <cell r="DR11">
            <v>0</v>
          </cell>
          <cell r="DS11">
            <v>0</v>
          </cell>
          <cell r="DT11">
            <v>0</v>
          </cell>
          <cell r="DU11">
            <v>0</v>
          </cell>
          <cell r="DV11">
            <v>0</v>
          </cell>
          <cell r="DW11">
            <v>0</v>
          </cell>
          <cell r="DX11">
            <v>0</v>
          </cell>
          <cell r="DY11">
            <v>0</v>
          </cell>
          <cell r="DZ11">
            <v>0</v>
          </cell>
          <cell r="EA11">
            <v>0</v>
          </cell>
          <cell r="EB11">
            <v>1</v>
          </cell>
          <cell r="EC11">
            <v>0</v>
          </cell>
          <cell r="ED11">
            <v>0</v>
          </cell>
          <cell r="EE11">
            <v>0</v>
          </cell>
          <cell r="EF11">
            <v>0</v>
          </cell>
          <cell r="EG11">
            <v>0</v>
          </cell>
          <cell r="EH11">
            <v>0</v>
          </cell>
          <cell r="EI11">
            <v>0</v>
          </cell>
          <cell r="EJ11">
            <v>0</v>
          </cell>
          <cell r="EK11">
            <v>0</v>
          </cell>
          <cell r="EL11">
            <v>0</v>
          </cell>
          <cell r="EM11">
            <v>0</v>
          </cell>
          <cell r="EN11">
            <v>4</v>
          </cell>
          <cell r="EO11">
            <v>4</v>
          </cell>
          <cell r="EP11">
            <v>1</v>
          </cell>
          <cell r="EQ11">
            <v>3</v>
          </cell>
          <cell r="ER11">
            <v>1</v>
          </cell>
          <cell r="ES11">
            <v>3</v>
          </cell>
          <cell r="ET11">
            <v>5</v>
          </cell>
          <cell r="EU11">
            <v>3</v>
          </cell>
          <cell r="EV11">
            <v>5</v>
          </cell>
          <cell r="EW11">
            <v>3</v>
          </cell>
          <cell r="EX11">
            <v>3</v>
          </cell>
          <cell r="EY11">
            <v>3</v>
          </cell>
          <cell r="EZ11">
            <v>5</v>
          </cell>
          <cell r="FA11">
            <v>2</v>
          </cell>
          <cell r="FB11">
            <v>5</v>
          </cell>
          <cell r="FC11">
            <v>4</v>
          </cell>
          <cell r="FD11">
            <v>2</v>
          </cell>
          <cell r="FE11">
            <v>3</v>
          </cell>
          <cell r="FF11">
            <v>1</v>
          </cell>
          <cell r="FG11">
            <v>52</v>
          </cell>
          <cell r="FH11">
            <v>3</v>
          </cell>
          <cell r="FI11">
            <v>2</v>
          </cell>
          <cell r="FJ11">
            <v>1</v>
          </cell>
          <cell r="FK11">
            <v>4</v>
          </cell>
          <cell r="FL11">
            <v>1</v>
          </cell>
          <cell r="FM11">
            <v>1</v>
          </cell>
          <cell r="FN11">
            <v>1</v>
          </cell>
          <cell r="FO11">
            <v>4</v>
          </cell>
          <cell r="FP11">
            <v>1</v>
          </cell>
          <cell r="FQ11">
            <v>1</v>
          </cell>
          <cell r="FR11">
            <v>3</v>
          </cell>
          <cell r="FS11">
            <v>2</v>
          </cell>
          <cell r="FT11">
            <v>2</v>
          </cell>
          <cell r="FU11">
            <v>3</v>
          </cell>
          <cell r="FV11">
            <v>2</v>
          </cell>
          <cell r="FW11">
            <v>4</v>
          </cell>
          <cell r="FX11">
            <v>1</v>
          </cell>
          <cell r="FY11">
            <v>1</v>
          </cell>
          <cell r="FZ11">
            <v>4</v>
          </cell>
          <cell r="GA11">
            <v>1</v>
          </cell>
          <cell r="GB11">
            <v>2</v>
          </cell>
          <cell r="GC11">
            <v>19</v>
          </cell>
        </row>
        <row r="12">
          <cell r="A12">
            <v>834</v>
          </cell>
          <cell r="B12">
            <v>2</v>
          </cell>
          <cell r="C12">
            <v>30</v>
          </cell>
          <cell r="D12">
            <v>0</v>
          </cell>
          <cell r="E12" t="str">
            <v xml:space="preserve"> </v>
          </cell>
          <cell r="F12">
            <v>5</v>
          </cell>
          <cell r="G12">
            <v>1</v>
          </cell>
          <cell r="H12">
            <v>1</v>
          </cell>
          <cell r="I12">
            <v>2</v>
          </cell>
          <cell r="J12" t="str">
            <v>Home Health Aide and Rehab Thera</v>
          </cell>
          <cell r="K12">
            <v>2</v>
          </cell>
          <cell r="L12">
            <v>4</v>
          </cell>
          <cell r="M12" t="str">
            <v xml:space="preserve"> </v>
          </cell>
          <cell r="N12" t="str">
            <v>5' 4</v>
          </cell>
          <cell r="O12">
            <v>136</v>
          </cell>
          <cell r="P12" t="str">
            <v xml:space="preserve"> </v>
          </cell>
          <cell r="Q12" t="str">
            <v xml:space="preserve"> </v>
          </cell>
          <cell r="R12" t="str">
            <v xml:space="preserve"> </v>
          </cell>
          <cell r="S12" t="str">
            <v xml:space="preserve"> </v>
          </cell>
          <cell r="T12">
            <v>0</v>
          </cell>
          <cell r="U12" t="str">
            <v xml:space="preserve"> </v>
          </cell>
          <cell r="V12" t="str">
            <v xml:space="preserve"> </v>
          </cell>
          <cell r="W12">
            <v>0</v>
          </cell>
          <cell r="X12">
            <v>0</v>
          </cell>
          <cell r="Y12">
            <v>0</v>
          </cell>
          <cell r="Z12">
            <v>0</v>
          </cell>
          <cell r="AA12">
            <v>0</v>
          </cell>
          <cell r="AB12">
            <v>0</v>
          </cell>
          <cell r="AC12">
            <v>0</v>
          </cell>
          <cell r="AD12">
            <v>0</v>
          </cell>
          <cell r="AE12">
            <v>1</v>
          </cell>
          <cell r="AF12">
            <v>0</v>
          </cell>
          <cell r="AG12">
            <v>0</v>
          </cell>
          <cell r="AH12">
            <v>0</v>
          </cell>
          <cell r="AI12">
            <v>0</v>
          </cell>
          <cell r="AJ12">
            <v>0</v>
          </cell>
          <cell r="AK12">
            <v>0</v>
          </cell>
          <cell r="AL12">
            <v>0</v>
          </cell>
          <cell r="AM12">
            <v>0</v>
          </cell>
          <cell r="AN12">
            <v>0</v>
          </cell>
          <cell r="AO12">
            <v>0</v>
          </cell>
          <cell r="AP12">
            <v>0</v>
          </cell>
          <cell r="AQ12" t="str">
            <v xml:space="preserve"> </v>
          </cell>
          <cell r="AR12">
            <v>0</v>
          </cell>
          <cell r="AS12">
            <v>1</v>
          </cell>
          <cell r="AT12">
            <v>1</v>
          </cell>
          <cell r="AU12">
            <v>1</v>
          </cell>
          <cell r="AV12">
            <v>0</v>
          </cell>
          <cell r="AW12">
            <v>1</v>
          </cell>
          <cell r="AX12">
            <v>1</v>
          </cell>
          <cell r="AY12">
            <v>0</v>
          </cell>
          <cell r="AZ12">
            <v>36</v>
          </cell>
          <cell r="BA12">
            <v>0</v>
          </cell>
          <cell r="BB12" t="str">
            <v xml:space="preserve"> </v>
          </cell>
          <cell r="BC12" t="str">
            <v xml:space="preserve"> </v>
          </cell>
          <cell r="BD12">
            <v>6</v>
          </cell>
          <cell r="BE12">
            <v>6</v>
          </cell>
          <cell r="BF12">
            <v>0</v>
          </cell>
          <cell r="BG12">
            <v>7</v>
          </cell>
          <cell r="BH12">
            <v>8</v>
          </cell>
          <cell r="BI12">
            <v>30</v>
          </cell>
          <cell r="BJ12">
            <v>3</v>
          </cell>
          <cell r="BK12">
            <v>0</v>
          </cell>
          <cell r="BL12">
            <v>180</v>
          </cell>
          <cell r="BM12">
            <v>11781</v>
          </cell>
          <cell r="BN12">
            <v>8640</v>
          </cell>
          <cell r="BO12">
            <v>0</v>
          </cell>
          <cell r="BP12">
            <v>20421</v>
          </cell>
          <cell r="BQ12">
            <v>3</v>
          </cell>
          <cell r="BR12">
            <v>6</v>
          </cell>
          <cell r="BS12">
            <v>6</v>
          </cell>
          <cell r="BT12">
            <v>6</v>
          </cell>
          <cell r="BU12">
            <v>5</v>
          </cell>
          <cell r="BV12">
            <v>6</v>
          </cell>
          <cell r="BW12">
            <v>7</v>
          </cell>
          <cell r="BX12">
            <v>7</v>
          </cell>
          <cell r="BY12">
            <v>3</v>
          </cell>
          <cell r="BZ12">
            <v>7</v>
          </cell>
          <cell r="CA12">
            <v>6</v>
          </cell>
          <cell r="CB12">
            <v>5</v>
          </cell>
          <cell r="CC12">
            <v>6</v>
          </cell>
          <cell r="CD12">
            <v>6</v>
          </cell>
          <cell r="CE12">
            <v>4.75</v>
          </cell>
          <cell r="CF12">
            <v>6.75</v>
          </cell>
          <cell r="CG12">
            <v>5.8333333329999997</v>
          </cell>
          <cell r="CH12">
            <v>7</v>
          </cell>
          <cell r="CI12">
            <v>6</v>
          </cell>
          <cell r="CJ12">
            <v>7</v>
          </cell>
          <cell r="CK12">
            <v>6</v>
          </cell>
          <cell r="CL12">
            <v>2</v>
          </cell>
          <cell r="CM12">
            <v>7</v>
          </cell>
          <cell r="CN12">
            <v>7</v>
          </cell>
          <cell r="CO12">
            <v>4</v>
          </cell>
          <cell r="CP12">
            <v>8</v>
          </cell>
          <cell r="CQ12">
            <v>3</v>
          </cell>
          <cell r="CR12">
            <v>7</v>
          </cell>
          <cell r="CS12">
            <v>6</v>
          </cell>
          <cell r="CT12">
            <v>8</v>
          </cell>
          <cell r="CU12">
            <v>4</v>
          </cell>
          <cell r="CV12">
            <v>3</v>
          </cell>
          <cell r="CW12">
            <v>8</v>
          </cell>
          <cell r="CX12">
            <v>8</v>
          </cell>
          <cell r="CY12">
            <v>7</v>
          </cell>
          <cell r="CZ12">
            <v>2</v>
          </cell>
          <cell r="DA12">
            <v>6</v>
          </cell>
          <cell r="DB12">
            <v>4</v>
          </cell>
          <cell r="DC12">
            <v>120</v>
          </cell>
          <cell r="DD12">
            <v>23</v>
          </cell>
          <cell r="DE12">
            <v>22</v>
          </cell>
          <cell r="DF12">
            <v>18</v>
          </cell>
          <cell r="DG12">
            <v>10</v>
          </cell>
          <cell r="DH12">
            <v>14</v>
          </cell>
          <cell r="DI12">
            <v>17</v>
          </cell>
          <cell r="DJ12">
            <v>16</v>
          </cell>
          <cell r="DK12">
            <v>16</v>
          </cell>
          <cell r="DL12">
            <v>25</v>
          </cell>
          <cell r="DM12">
            <v>25</v>
          </cell>
          <cell r="DN12">
            <v>19</v>
          </cell>
          <cell r="DO12">
            <v>29</v>
          </cell>
          <cell r="DP12">
            <v>12</v>
          </cell>
          <cell r="DQ12">
            <v>0</v>
          </cell>
          <cell r="DR12">
            <v>3</v>
          </cell>
          <cell r="DS12">
            <v>2</v>
          </cell>
          <cell r="DT12">
            <v>0</v>
          </cell>
          <cell r="DU12">
            <v>3</v>
          </cell>
          <cell r="DV12">
            <v>2</v>
          </cell>
          <cell r="DW12">
            <v>0</v>
          </cell>
          <cell r="DX12">
            <v>2</v>
          </cell>
          <cell r="DY12">
            <v>1</v>
          </cell>
          <cell r="DZ12">
            <v>1</v>
          </cell>
          <cell r="EA12">
            <v>3</v>
          </cell>
          <cell r="EB12">
            <v>2</v>
          </cell>
          <cell r="EC12">
            <v>3</v>
          </cell>
          <cell r="ED12">
            <v>0</v>
          </cell>
          <cell r="EE12">
            <v>0</v>
          </cell>
          <cell r="EF12">
            <v>2</v>
          </cell>
          <cell r="EG12">
            <v>3</v>
          </cell>
          <cell r="EH12">
            <v>0</v>
          </cell>
          <cell r="EI12">
            <v>0</v>
          </cell>
          <cell r="EJ12">
            <v>0</v>
          </cell>
          <cell r="EK12">
            <v>1</v>
          </cell>
          <cell r="EL12">
            <v>8</v>
          </cell>
          <cell r="EM12">
            <v>30</v>
          </cell>
          <cell r="EN12">
            <v>18</v>
          </cell>
          <cell r="EO12">
            <v>56</v>
          </cell>
          <cell r="EP12">
            <v>3</v>
          </cell>
          <cell r="EQ12">
            <v>3</v>
          </cell>
          <cell r="ER12">
            <v>1</v>
          </cell>
          <cell r="ES12">
            <v>3</v>
          </cell>
          <cell r="ET12">
            <v>3</v>
          </cell>
          <cell r="EU12">
            <v>5</v>
          </cell>
          <cell r="EV12">
            <v>5</v>
          </cell>
          <cell r="EW12">
            <v>3</v>
          </cell>
          <cell r="EX12">
            <v>1</v>
          </cell>
          <cell r="EY12">
            <v>3</v>
          </cell>
          <cell r="EZ12">
            <v>5</v>
          </cell>
          <cell r="FA12">
            <v>3</v>
          </cell>
          <cell r="FB12">
            <v>5</v>
          </cell>
          <cell r="FC12">
            <v>2</v>
          </cell>
          <cell r="FD12">
            <v>2</v>
          </cell>
          <cell r="FE12">
            <v>5</v>
          </cell>
          <cell r="FF12">
            <v>4</v>
          </cell>
          <cell r="FG12">
            <v>56</v>
          </cell>
          <cell r="FH12">
            <v>3</v>
          </cell>
          <cell r="FI12">
            <v>2</v>
          </cell>
          <cell r="FJ12">
            <v>2</v>
          </cell>
          <cell r="FK12">
            <v>2</v>
          </cell>
          <cell r="FL12">
            <v>3</v>
          </cell>
          <cell r="FM12">
            <v>3</v>
          </cell>
          <cell r="FN12">
            <v>2</v>
          </cell>
          <cell r="FO12">
            <v>2</v>
          </cell>
          <cell r="FP12">
            <v>3</v>
          </cell>
          <cell r="FQ12">
            <v>3</v>
          </cell>
          <cell r="FR12">
            <v>2</v>
          </cell>
          <cell r="FS12">
            <v>3</v>
          </cell>
          <cell r="FT12">
            <v>2</v>
          </cell>
          <cell r="FU12">
            <v>3</v>
          </cell>
          <cell r="FV12">
            <v>2</v>
          </cell>
          <cell r="FW12">
            <v>2</v>
          </cell>
          <cell r="FX12">
            <v>3</v>
          </cell>
          <cell r="FY12">
            <v>2</v>
          </cell>
          <cell r="FZ12">
            <v>4</v>
          </cell>
          <cell r="GA12">
            <v>1</v>
          </cell>
          <cell r="GB12">
            <v>2</v>
          </cell>
          <cell r="GC12">
            <v>33</v>
          </cell>
        </row>
        <row r="13">
          <cell r="A13">
            <v>837</v>
          </cell>
          <cell r="B13">
            <v>0</v>
          </cell>
          <cell r="C13">
            <v>33</v>
          </cell>
          <cell r="D13">
            <v>1</v>
          </cell>
          <cell r="E13" t="str">
            <v xml:space="preserve"> </v>
          </cell>
          <cell r="F13">
            <v>5</v>
          </cell>
          <cell r="G13">
            <v>0</v>
          </cell>
          <cell r="H13" t="str">
            <v xml:space="preserve"> </v>
          </cell>
          <cell r="I13">
            <v>2</v>
          </cell>
          <cell r="J13" t="str">
            <v>Electrician</v>
          </cell>
          <cell r="K13">
            <v>2</v>
          </cell>
          <cell r="L13">
            <v>5</v>
          </cell>
          <cell r="M13" t="str">
            <v xml:space="preserve"> </v>
          </cell>
          <cell r="N13" t="str">
            <v>6'0</v>
          </cell>
          <cell r="O13">
            <v>200</v>
          </cell>
          <cell r="P13" t="str">
            <v xml:space="preserve"> </v>
          </cell>
          <cell r="Q13" t="str">
            <v xml:space="preserve"> </v>
          </cell>
          <cell r="R13" t="str">
            <v xml:space="preserve"> </v>
          </cell>
          <cell r="S13" t="str">
            <v xml:space="preserve"> </v>
          </cell>
          <cell r="T13">
            <v>0</v>
          </cell>
          <cell r="U13" t="str">
            <v xml:space="preserve"> </v>
          </cell>
          <cell r="V13" t="str">
            <v xml:space="preserve"> </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t="str">
            <v xml:space="preserve"> </v>
          </cell>
          <cell r="AR13">
            <v>0</v>
          </cell>
          <cell r="AS13">
            <v>0</v>
          </cell>
          <cell r="AT13">
            <v>0</v>
          </cell>
          <cell r="AU13">
            <v>0</v>
          </cell>
          <cell r="AV13">
            <v>0</v>
          </cell>
          <cell r="AW13">
            <v>0</v>
          </cell>
          <cell r="AX13">
            <v>0</v>
          </cell>
          <cell r="AY13">
            <v>0</v>
          </cell>
          <cell r="AZ13">
            <v>0</v>
          </cell>
          <cell r="BA13">
            <v>1</v>
          </cell>
          <cell r="BB13">
            <v>2</v>
          </cell>
          <cell r="BC13" t="str">
            <v xml:space="preserve"> </v>
          </cell>
          <cell r="BD13">
            <v>3</v>
          </cell>
          <cell r="BE13">
            <v>2</v>
          </cell>
          <cell r="BF13">
            <v>0</v>
          </cell>
          <cell r="BG13">
            <v>3</v>
          </cell>
          <cell r="BH13">
            <v>1</v>
          </cell>
          <cell r="BI13">
            <v>0</v>
          </cell>
          <cell r="BJ13">
            <v>3</v>
          </cell>
          <cell r="BK13">
            <v>0</v>
          </cell>
          <cell r="BL13">
            <v>180</v>
          </cell>
          <cell r="BM13">
            <v>594</v>
          </cell>
          <cell r="BN13">
            <v>1440</v>
          </cell>
          <cell r="BO13">
            <v>960</v>
          </cell>
          <cell r="BP13">
            <v>2994</v>
          </cell>
          <cell r="BQ13">
            <v>2</v>
          </cell>
          <cell r="BR13">
            <v>6</v>
          </cell>
          <cell r="BS13">
            <v>6</v>
          </cell>
          <cell r="BT13">
            <v>7</v>
          </cell>
          <cell r="BU13">
            <v>7</v>
          </cell>
          <cell r="BV13">
            <v>7</v>
          </cell>
          <cell r="BW13">
            <v>7</v>
          </cell>
          <cell r="BX13">
            <v>7</v>
          </cell>
          <cell r="BY13">
            <v>7</v>
          </cell>
          <cell r="BZ13">
            <v>7</v>
          </cell>
          <cell r="CA13">
            <v>7</v>
          </cell>
          <cell r="CB13">
            <v>7</v>
          </cell>
          <cell r="CC13">
            <v>7</v>
          </cell>
          <cell r="CD13">
            <v>6.5</v>
          </cell>
          <cell r="CE13">
            <v>7</v>
          </cell>
          <cell r="CF13">
            <v>7</v>
          </cell>
          <cell r="CG13">
            <v>6.8333333329999997</v>
          </cell>
          <cell r="CH13">
            <v>7</v>
          </cell>
          <cell r="CI13">
            <v>9</v>
          </cell>
          <cell r="CJ13">
            <v>8</v>
          </cell>
          <cell r="CK13">
            <v>9</v>
          </cell>
          <cell r="CL13">
            <v>9</v>
          </cell>
          <cell r="CM13">
            <v>9</v>
          </cell>
          <cell r="CN13">
            <v>8</v>
          </cell>
          <cell r="CO13">
            <v>8</v>
          </cell>
          <cell r="CP13">
            <v>8</v>
          </cell>
          <cell r="CQ13">
            <v>8</v>
          </cell>
          <cell r="CR13">
            <v>8</v>
          </cell>
          <cell r="CS13">
            <v>9</v>
          </cell>
          <cell r="CT13">
            <v>8</v>
          </cell>
          <cell r="CU13">
            <v>9</v>
          </cell>
          <cell r="CV13">
            <v>8</v>
          </cell>
          <cell r="CW13">
            <v>8</v>
          </cell>
          <cell r="CX13">
            <v>9</v>
          </cell>
          <cell r="CY13">
            <v>9</v>
          </cell>
          <cell r="CZ13">
            <v>9</v>
          </cell>
          <cell r="DA13">
            <v>9</v>
          </cell>
          <cell r="DB13">
            <v>8</v>
          </cell>
          <cell r="DC13">
            <v>177</v>
          </cell>
          <cell r="DD13">
            <v>23</v>
          </cell>
          <cell r="DE13">
            <v>26</v>
          </cell>
          <cell r="DF13">
            <v>24</v>
          </cell>
          <cell r="DG13">
            <v>24</v>
          </cell>
          <cell r="DH13">
            <v>27</v>
          </cell>
          <cell r="DI13">
            <v>26</v>
          </cell>
          <cell r="DJ13">
            <v>27</v>
          </cell>
          <cell r="DK13">
            <v>27</v>
          </cell>
          <cell r="DL13">
            <v>33</v>
          </cell>
          <cell r="DM13">
            <v>33</v>
          </cell>
          <cell r="DN13">
            <v>24</v>
          </cell>
          <cell r="DO13">
            <v>33</v>
          </cell>
          <cell r="DP13">
            <v>26</v>
          </cell>
          <cell r="DQ13">
            <v>0</v>
          </cell>
          <cell r="DR13">
            <v>0</v>
          </cell>
          <cell r="DS13">
            <v>0</v>
          </cell>
          <cell r="DT13">
            <v>0</v>
          </cell>
          <cell r="DU13">
            <v>0</v>
          </cell>
          <cell r="DV13">
            <v>0</v>
          </cell>
          <cell r="DW13">
            <v>0</v>
          </cell>
          <cell r="DX13">
            <v>0</v>
          </cell>
          <cell r="DY13">
            <v>0</v>
          </cell>
          <cell r="DZ13">
            <v>0</v>
          </cell>
          <cell r="EA13">
            <v>0</v>
          </cell>
          <cell r="EB13">
            <v>0</v>
          </cell>
          <cell r="EC13">
            <v>0</v>
          </cell>
          <cell r="ED13">
            <v>0</v>
          </cell>
          <cell r="EE13">
            <v>0</v>
          </cell>
          <cell r="EF13">
            <v>0</v>
          </cell>
          <cell r="EG13">
            <v>0</v>
          </cell>
          <cell r="EH13">
            <v>0</v>
          </cell>
          <cell r="EI13">
            <v>0</v>
          </cell>
          <cell r="EJ13">
            <v>0</v>
          </cell>
          <cell r="EK13">
            <v>0</v>
          </cell>
          <cell r="EL13">
            <v>0</v>
          </cell>
          <cell r="EM13">
            <v>0</v>
          </cell>
          <cell r="EN13">
            <v>0</v>
          </cell>
          <cell r="EO13">
            <v>0</v>
          </cell>
          <cell r="EP13">
            <v>2</v>
          </cell>
          <cell r="EQ13">
            <v>2</v>
          </cell>
          <cell r="ER13">
            <v>2</v>
          </cell>
          <cell r="ES13">
            <v>3</v>
          </cell>
          <cell r="ET13">
            <v>5</v>
          </cell>
          <cell r="EU13">
            <v>3</v>
          </cell>
          <cell r="EV13">
            <v>5</v>
          </cell>
          <cell r="EW13">
            <v>5</v>
          </cell>
          <cell r="EX13">
            <v>5</v>
          </cell>
          <cell r="EY13">
            <v>5</v>
          </cell>
          <cell r="EZ13">
            <v>5</v>
          </cell>
          <cell r="FA13">
            <v>2</v>
          </cell>
          <cell r="FB13">
            <v>2</v>
          </cell>
          <cell r="FC13">
            <v>2</v>
          </cell>
          <cell r="FD13">
            <v>2</v>
          </cell>
          <cell r="FE13">
            <v>3</v>
          </cell>
          <cell r="FF13">
            <v>4</v>
          </cell>
          <cell r="FG13">
            <v>57</v>
          </cell>
          <cell r="FH13">
            <v>4</v>
          </cell>
          <cell r="FI13">
            <v>1</v>
          </cell>
          <cell r="FJ13">
            <v>1</v>
          </cell>
          <cell r="FK13">
            <v>4</v>
          </cell>
          <cell r="FL13">
            <v>1</v>
          </cell>
          <cell r="FM13">
            <v>1</v>
          </cell>
          <cell r="FN13">
            <v>1</v>
          </cell>
          <cell r="FO13">
            <v>4</v>
          </cell>
          <cell r="FP13">
            <v>1</v>
          </cell>
          <cell r="FQ13">
            <v>1</v>
          </cell>
          <cell r="FR13">
            <v>4</v>
          </cell>
          <cell r="FS13">
            <v>1</v>
          </cell>
          <cell r="FT13">
            <v>2</v>
          </cell>
          <cell r="FU13">
            <v>4</v>
          </cell>
          <cell r="FV13">
            <v>1</v>
          </cell>
          <cell r="FW13">
            <v>4</v>
          </cell>
          <cell r="FX13">
            <v>1</v>
          </cell>
          <cell r="FY13">
            <v>1</v>
          </cell>
          <cell r="FZ13">
            <v>4</v>
          </cell>
          <cell r="GA13">
            <v>1</v>
          </cell>
          <cell r="GB13">
            <v>2</v>
          </cell>
          <cell r="GC13">
            <v>16</v>
          </cell>
        </row>
        <row r="14">
          <cell r="A14">
            <v>845</v>
          </cell>
          <cell r="B14">
            <v>0</v>
          </cell>
          <cell r="C14">
            <v>46</v>
          </cell>
          <cell r="D14">
            <v>1</v>
          </cell>
          <cell r="E14" t="str">
            <v xml:space="preserve"> </v>
          </cell>
          <cell r="F14">
            <v>2</v>
          </cell>
          <cell r="G14">
            <v>1</v>
          </cell>
          <cell r="H14">
            <v>2</v>
          </cell>
          <cell r="I14">
            <v>2</v>
          </cell>
          <cell r="J14" t="str">
            <v>licensing examiner</v>
          </cell>
          <cell r="K14">
            <v>2</v>
          </cell>
          <cell r="L14">
            <v>4</v>
          </cell>
          <cell r="M14" t="str">
            <v xml:space="preserve"> </v>
          </cell>
          <cell r="N14" t="str">
            <v>6'2"</v>
          </cell>
          <cell r="O14">
            <v>185</v>
          </cell>
          <cell r="P14" t="str">
            <v xml:space="preserve"> </v>
          </cell>
          <cell r="Q14" t="str">
            <v xml:space="preserve"> </v>
          </cell>
          <cell r="R14" t="str">
            <v xml:space="preserve"> </v>
          </cell>
          <cell r="S14" t="str">
            <v xml:space="preserve"> </v>
          </cell>
          <cell r="T14">
            <v>0</v>
          </cell>
          <cell r="U14" t="str">
            <v xml:space="preserve"> </v>
          </cell>
          <cell r="V14" t="str">
            <v xml:space="preserve"> </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t="str">
            <v xml:space="preserve"> </v>
          </cell>
          <cell r="AR14">
            <v>0</v>
          </cell>
          <cell r="AS14">
            <v>0</v>
          </cell>
          <cell r="AT14">
            <v>0</v>
          </cell>
          <cell r="AU14">
            <v>0</v>
          </cell>
          <cell r="AV14">
            <v>0</v>
          </cell>
          <cell r="AW14">
            <v>0</v>
          </cell>
          <cell r="AX14">
            <v>1</v>
          </cell>
          <cell r="AY14">
            <v>0</v>
          </cell>
          <cell r="AZ14">
            <v>2</v>
          </cell>
          <cell r="BA14">
            <v>5</v>
          </cell>
          <cell r="BB14">
            <v>2</v>
          </cell>
          <cell r="BC14" t="str">
            <v xml:space="preserve"> </v>
          </cell>
          <cell r="BD14">
            <v>5</v>
          </cell>
          <cell r="BE14">
            <v>2</v>
          </cell>
          <cell r="BF14">
            <v>15</v>
          </cell>
          <cell r="BG14">
            <v>2</v>
          </cell>
          <cell r="BH14">
            <v>1</v>
          </cell>
          <cell r="BI14">
            <v>10</v>
          </cell>
          <cell r="BJ14">
            <v>5</v>
          </cell>
          <cell r="BK14">
            <v>10</v>
          </cell>
          <cell r="BL14">
            <v>310</v>
          </cell>
          <cell r="BM14">
            <v>462</v>
          </cell>
          <cell r="BN14">
            <v>2700</v>
          </cell>
          <cell r="BO14">
            <v>4800</v>
          </cell>
          <cell r="BP14">
            <v>7962</v>
          </cell>
          <cell r="BQ14">
            <v>3</v>
          </cell>
          <cell r="BR14">
            <v>6</v>
          </cell>
          <cell r="BS14">
            <v>7</v>
          </cell>
          <cell r="BT14">
            <v>7</v>
          </cell>
          <cell r="BU14">
            <v>7</v>
          </cell>
          <cell r="BV14">
            <v>7</v>
          </cell>
          <cell r="BW14">
            <v>7</v>
          </cell>
          <cell r="BX14">
            <v>7</v>
          </cell>
          <cell r="BY14">
            <v>7</v>
          </cell>
          <cell r="BZ14">
            <v>7</v>
          </cell>
          <cell r="CA14">
            <v>7</v>
          </cell>
          <cell r="CB14">
            <v>7</v>
          </cell>
          <cell r="CC14">
            <v>7</v>
          </cell>
          <cell r="CD14">
            <v>6.75</v>
          </cell>
          <cell r="CE14">
            <v>7</v>
          </cell>
          <cell r="CF14">
            <v>7</v>
          </cell>
          <cell r="CG14">
            <v>6.9166666670000003</v>
          </cell>
          <cell r="CH14">
            <v>8</v>
          </cell>
          <cell r="CI14">
            <v>9</v>
          </cell>
          <cell r="CJ14">
            <v>9</v>
          </cell>
          <cell r="CK14">
            <v>9</v>
          </cell>
          <cell r="CL14">
            <v>9</v>
          </cell>
          <cell r="CM14">
            <v>8</v>
          </cell>
          <cell r="CN14">
            <v>8</v>
          </cell>
          <cell r="CO14">
            <v>9</v>
          </cell>
          <cell r="CP14">
            <v>9</v>
          </cell>
          <cell r="CQ14">
            <v>7</v>
          </cell>
          <cell r="CR14">
            <v>8</v>
          </cell>
          <cell r="CS14">
            <v>9</v>
          </cell>
          <cell r="CT14">
            <v>7</v>
          </cell>
          <cell r="CU14">
            <v>7</v>
          </cell>
          <cell r="CV14">
            <v>9</v>
          </cell>
          <cell r="CW14">
            <v>8</v>
          </cell>
          <cell r="CX14">
            <v>9</v>
          </cell>
          <cell r="CY14">
            <v>8</v>
          </cell>
          <cell r="CZ14">
            <v>9</v>
          </cell>
          <cell r="DA14">
            <v>9</v>
          </cell>
          <cell r="DB14">
            <v>7</v>
          </cell>
          <cell r="DC14">
            <v>175</v>
          </cell>
          <cell r="DD14">
            <v>25</v>
          </cell>
          <cell r="DE14">
            <v>23</v>
          </cell>
          <cell r="DF14">
            <v>24</v>
          </cell>
          <cell r="DG14">
            <v>25</v>
          </cell>
          <cell r="DH14">
            <v>27</v>
          </cell>
          <cell r="DI14">
            <v>24</v>
          </cell>
          <cell r="DJ14">
            <v>27</v>
          </cell>
          <cell r="DK14">
            <v>25</v>
          </cell>
          <cell r="DL14">
            <v>33</v>
          </cell>
          <cell r="DM14">
            <v>33</v>
          </cell>
          <cell r="DN14">
            <v>25</v>
          </cell>
          <cell r="DO14">
            <v>34</v>
          </cell>
          <cell r="DP14">
            <v>24</v>
          </cell>
          <cell r="DQ14">
            <v>3</v>
          </cell>
          <cell r="DR14">
            <v>0</v>
          </cell>
          <cell r="DS14">
            <v>0</v>
          </cell>
          <cell r="DT14">
            <v>0</v>
          </cell>
          <cell r="DU14">
            <v>0</v>
          </cell>
          <cell r="DV14">
            <v>0</v>
          </cell>
          <cell r="DW14">
            <v>0</v>
          </cell>
          <cell r="DX14">
            <v>0</v>
          </cell>
          <cell r="DY14">
            <v>0</v>
          </cell>
          <cell r="DZ14">
            <v>0</v>
          </cell>
          <cell r="EA14">
            <v>0</v>
          </cell>
          <cell r="EB14">
            <v>0</v>
          </cell>
          <cell r="EC14">
            <v>0</v>
          </cell>
          <cell r="ED14">
            <v>0</v>
          </cell>
          <cell r="EE14">
            <v>0</v>
          </cell>
          <cell r="EF14">
            <v>0</v>
          </cell>
          <cell r="EG14">
            <v>0</v>
          </cell>
          <cell r="EH14">
            <v>1</v>
          </cell>
          <cell r="EI14">
            <v>0</v>
          </cell>
          <cell r="EJ14">
            <v>0</v>
          </cell>
          <cell r="EK14">
            <v>0</v>
          </cell>
          <cell r="EL14">
            <v>0</v>
          </cell>
          <cell r="EM14">
            <v>0</v>
          </cell>
          <cell r="EN14">
            <v>8</v>
          </cell>
          <cell r="EO14">
            <v>8</v>
          </cell>
          <cell r="EP14">
            <v>1</v>
          </cell>
          <cell r="EQ14">
            <v>1</v>
          </cell>
          <cell r="ER14">
            <v>1</v>
          </cell>
          <cell r="ES14">
            <v>1</v>
          </cell>
          <cell r="ET14">
            <v>3</v>
          </cell>
          <cell r="EU14">
            <v>1</v>
          </cell>
          <cell r="EV14">
            <v>1</v>
          </cell>
          <cell r="EW14">
            <v>5</v>
          </cell>
          <cell r="EX14">
            <v>5</v>
          </cell>
          <cell r="EY14">
            <v>5</v>
          </cell>
          <cell r="EZ14">
            <v>5</v>
          </cell>
          <cell r="FA14">
            <v>1</v>
          </cell>
          <cell r="FB14">
            <v>5</v>
          </cell>
          <cell r="FC14">
            <v>4</v>
          </cell>
          <cell r="FD14">
            <v>2</v>
          </cell>
          <cell r="FE14">
            <v>3</v>
          </cell>
          <cell r="FF14">
            <v>4</v>
          </cell>
          <cell r="FG14">
            <v>48</v>
          </cell>
          <cell r="FH14">
            <v>3</v>
          </cell>
          <cell r="FI14">
            <v>2</v>
          </cell>
          <cell r="FJ14">
            <v>2</v>
          </cell>
          <cell r="FK14">
            <v>4</v>
          </cell>
          <cell r="FL14">
            <v>1</v>
          </cell>
          <cell r="FM14">
            <v>1</v>
          </cell>
          <cell r="FN14">
            <v>1</v>
          </cell>
          <cell r="FO14">
            <v>3</v>
          </cell>
          <cell r="FP14">
            <v>2</v>
          </cell>
          <cell r="FQ14">
            <v>1</v>
          </cell>
          <cell r="FR14">
            <v>3</v>
          </cell>
          <cell r="FS14">
            <v>2</v>
          </cell>
          <cell r="FT14">
            <v>1</v>
          </cell>
          <cell r="FU14">
            <v>4</v>
          </cell>
          <cell r="FV14">
            <v>1</v>
          </cell>
          <cell r="FW14">
            <v>4</v>
          </cell>
          <cell r="FX14">
            <v>1</v>
          </cell>
          <cell r="FY14">
            <v>2</v>
          </cell>
          <cell r="FZ14">
            <v>4</v>
          </cell>
          <cell r="GA14">
            <v>1</v>
          </cell>
          <cell r="GB14">
            <v>1</v>
          </cell>
          <cell r="GC14">
            <v>19</v>
          </cell>
        </row>
        <row r="15">
          <cell r="A15">
            <v>848</v>
          </cell>
          <cell r="B15">
            <v>2</v>
          </cell>
          <cell r="C15">
            <v>23</v>
          </cell>
          <cell r="D15">
            <v>0</v>
          </cell>
          <cell r="E15" t="str">
            <v xml:space="preserve"> </v>
          </cell>
          <cell r="F15">
            <v>5</v>
          </cell>
          <cell r="G15">
            <v>0</v>
          </cell>
          <cell r="H15" t="str">
            <v xml:space="preserve"> </v>
          </cell>
          <cell r="I15">
            <v>5</v>
          </cell>
          <cell r="J15" t="str">
            <v>Tutor</v>
          </cell>
          <cell r="K15">
            <v>2</v>
          </cell>
          <cell r="L15">
            <v>5</v>
          </cell>
          <cell r="M15" t="str">
            <v xml:space="preserve"> </v>
          </cell>
          <cell r="N15" t="str">
            <v>5' 4</v>
          </cell>
          <cell r="O15">
            <v>212</v>
          </cell>
          <cell r="P15" t="str">
            <v xml:space="preserve"> </v>
          </cell>
          <cell r="Q15" t="str">
            <v xml:space="preserve"> </v>
          </cell>
          <cell r="R15">
            <v>1</v>
          </cell>
          <cell r="S15">
            <v>3</v>
          </cell>
          <cell r="T15">
            <v>0</v>
          </cell>
          <cell r="U15" t="str">
            <v xml:space="preserve"> </v>
          </cell>
          <cell r="V15" t="str">
            <v xml:space="preserve"> </v>
          </cell>
          <cell r="W15">
            <v>0</v>
          </cell>
          <cell r="X15">
            <v>0</v>
          </cell>
          <cell r="Y15">
            <v>0</v>
          </cell>
          <cell r="Z15">
            <v>0</v>
          </cell>
          <cell r="AA15">
            <v>0</v>
          </cell>
          <cell r="AB15">
            <v>0</v>
          </cell>
          <cell r="AC15">
            <v>0</v>
          </cell>
          <cell r="AD15">
            <v>0</v>
          </cell>
          <cell r="AE15">
            <v>1</v>
          </cell>
          <cell r="AF15">
            <v>0</v>
          </cell>
          <cell r="AG15">
            <v>0</v>
          </cell>
          <cell r="AH15">
            <v>0</v>
          </cell>
          <cell r="AI15">
            <v>0</v>
          </cell>
          <cell r="AJ15">
            <v>0</v>
          </cell>
          <cell r="AK15">
            <v>0</v>
          </cell>
          <cell r="AL15">
            <v>0</v>
          </cell>
          <cell r="AM15">
            <v>0</v>
          </cell>
          <cell r="AN15">
            <v>0</v>
          </cell>
          <cell r="AO15">
            <v>0</v>
          </cell>
          <cell r="AP15">
            <v>0</v>
          </cell>
          <cell r="AQ15" t="str">
            <v xml:space="preserve"> </v>
          </cell>
          <cell r="AR15">
            <v>0</v>
          </cell>
          <cell r="AS15">
            <v>0</v>
          </cell>
          <cell r="AT15">
            <v>0</v>
          </cell>
          <cell r="AU15">
            <v>0</v>
          </cell>
          <cell r="AV15">
            <v>0</v>
          </cell>
          <cell r="AW15">
            <v>0</v>
          </cell>
          <cell r="AX15">
            <v>1</v>
          </cell>
          <cell r="AY15">
            <v>0</v>
          </cell>
          <cell r="AZ15">
            <v>26</v>
          </cell>
          <cell r="BA15">
            <v>0</v>
          </cell>
          <cell r="BB15" t="str">
            <v xml:space="preserve"> </v>
          </cell>
          <cell r="BC15" t="str">
            <v xml:space="preserve"> </v>
          </cell>
          <cell r="BD15">
            <v>3</v>
          </cell>
          <cell r="BE15">
            <v>0</v>
          </cell>
          <cell r="BF15">
            <v>40</v>
          </cell>
          <cell r="BG15">
            <v>4</v>
          </cell>
          <cell r="BH15">
            <v>0</v>
          </cell>
          <cell r="BI15">
            <v>40</v>
          </cell>
          <cell r="BJ15">
            <v>10</v>
          </cell>
          <cell r="BK15">
            <v>0</v>
          </cell>
          <cell r="BL15">
            <v>600</v>
          </cell>
          <cell r="BM15">
            <v>528</v>
          </cell>
          <cell r="BN15">
            <v>480</v>
          </cell>
          <cell r="BO15">
            <v>0</v>
          </cell>
          <cell r="BP15">
            <v>1008</v>
          </cell>
          <cell r="BQ15">
            <v>2</v>
          </cell>
          <cell r="BR15">
            <v>4</v>
          </cell>
          <cell r="BS15">
            <v>4</v>
          </cell>
          <cell r="BT15">
            <v>4</v>
          </cell>
          <cell r="BU15">
            <v>3</v>
          </cell>
          <cell r="BV15">
            <v>4</v>
          </cell>
          <cell r="BW15">
            <v>5</v>
          </cell>
          <cell r="BX15">
            <v>5</v>
          </cell>
          <cell r="BY15">
            <v>3</v>
          </cell>
          <cell r="BZ15">
            <v>5</v>
          </cell>
          <cell r="CA15">
            <v>4</v>
          </cell>
          <cell r="CB15">
            <v>5</v>
          </cell>
          <cell r="CC15">
            <v>5</v>
          </cell>
          <cell r="CD15">
            <v>4</v>
          </cell>
          <cell r="CE15">
            <v>3.75</v>
          </cell>
          <cell r="CF15">
            <v>5</v>
          </cell>
          <cell r="CG15">
            <v>4.25</v>
          </cell>
          <cell r="CH15">
            <v>6</v>
          </cell>
          <cell r="CI15">
            <v>6</v>
          </cell>
          <cell r="CJ15">
            <v>5</v>
          </cell>
          <cell r="CK15">
            <v>6</v>
          </cell>
          <cell r="CL15">
            <v>3</v>
          </cell>
          <cell r="CM15">
            <v>3</v>
          </cell>
          <cell r="CN15">
            <v>4</v>
          </cell>
          <cell r="CO15">
            <v>5</v>
          </cell>
          <cell r="CP15">
            <v>5</v>
          </cell>
          <cell r="CQ15">
            <v>5</v>
          </cell>
          <cell r="CR15">
            <v>5</v>
          </cell>
          <cell r="CS15">
            <v>6</v>
          </cell>
          <cell r="CT15">
            <v>5</v>
          </cell>
          <cell r="CU15">
            <v>6</v>
          </cell>
          <cell r="CV15">
            <v>6</v>
          </cell>
          <cell r="CW15">
            <v>5</v>
          </cell>
          <cell r="CX15">
            <v>6</v>
          </cell>
          <cell r="CY15">
            <v>5</v>
          </cell>
          <cell r="CZ15">
            <v>7</v>
          </cell>
          <cell r="DA15">
            <v>6</v>
          </cell>
          <cell r="DB15">
            <v>5</v>
          </cell>
          <cell r="DC15">
            <v>110</v>
          </cell>
          <cell r="DD15">
            <v>16</v>
          </cell>
          <cell r="DE15">
            <v>13</v>
          </cell>
          <cell r="DF15">
            <v>14</v>
          </cell>
          <cell r="DG15">
            <v>16</v>
          </cell>
          <cell r="DH15">
            <v>15</v>
          </cell>
          <cell r="DI15">
            <v>17</v>
          </cell>
          <cell r="DJ15">
            <v>19</v>
          </cell>
          <cell r="DK15">
            <v>18</v>
          </cell>
          <cell r="DL15">
            <v>21</v>
          </cell>
          <cell r="DM15">
            <v>21</v>
          </cell>
          <cell r="DN15">
            <v>15</v>
          </cell>
          <cell r="DO15">
            <v>20</v>
          </cell>
          <cell r="DP15">
            <v>13</v>
          </cell>
          <cell r="DQ15">
            <v>1</v>
          </cell>
          <cell r="DR15">
            <v>1</v>
          </cell>
          <cell r="DS15">
            <v>3</v>
          </cell>
          <cell r="DT15">
            <v>0</v>
          </cell>
          <cell r="DU15">
            <v>2</v>
          </cell>
          <cell r="DV15">
            <v>1</v>
          </cell>
          <cell r="DW15">
            <v>0</v>
          </cell>
          <cell r="DX15">
            <v>0</v>
          </cell>
          <cell r="DY15">
            <v>0</v>
          </cell>
          <cell r="DZ15">
            <v>3</v>
          </cell>
          <cell r="EA15">
            <v>1</v>
          </cell>
          <cell r="EB15">
            <v>1</v>
          </cell>
          <cell r="EC15">
            <v>2</v>
          </cell>
          <cell r="ED15">
            <v>1</v>
          </cell>
          <cell r="EE15">
            <v>0</v>
          </cell>
          <cell r="EF15">
            <v>3</v>
          </cell>
          <cell r="EG15">
            <v>3</v>
          </cell>
          <cell r="EH15">
            <v>1</v>
          </cell>
          <cell r="EI15">
            <v>0</v>
          </cell>
          <cell r="EJ15">
            <v>0</v>
          </cell>
          <cell r="EK15">
            <v>3</v>
          </cell>
          <cell r="EL15">
            <v>2</v>
          </cell>
          <cell r="EM15">
            <v>38</v>
          </cell>
          <cell r="EN15">
            <v>12</v>
          </cell>
          <cell r="EO15">
            <v>52</v>
          </cell>
          <cell r="EP15">
            <v>5</v>
          </cell>
          <cell r="EQ15">
            <v>5</v>
          </cell>
          <cell r="ER15">
            <v>1</v>
          </cell>
          <cell r="ES15">
            <v>5</v>
          </cell>
          <cell r="ET15">
            <v>5</v>
          </cell>
          <cell r="EU15">
            <v>1</v>
          </cell>
          <cell r="EV15">
            <v>5</v>
          </cell>
          <cell r="EW15">
            <v>3</v>
          </cell>
          <cell r="EX15">
            <v>1</v>
          </cell>
          <cell r="EY15">
            <v>5</v>
          </cell>
          <cell r="EZ15">
            <v>5</v>
          </cell>
          <cell r="FA15">
            <v>5</v>
          </cell>
          <cell r="FB15">
            <v>5</v>
          </cell>
          <cell r="FC15">
            <v>4</v>
          </cell>
          <cell r="FD15">
            <v>1</v>
          </cell>
          <cell r="FE15">
            <v>2</v>
          </cell>
          <cell r="FF15">
            <v>4</v>
          </cell>
          <cell r="FG15">
            <v>62</v>
          </cell>
          <cell r="FH15">
            <v>3</v>
          </cell>
          <cell r="FI15">
            <v>2</v>
          </cell>
          <cell r="FJ15">
            <v>2</v>
          </cell>
          <cell r="FK15">
            <v>2</v>
          </cell>
          <cell r="FL15">
            <v>3</v>
          </cell>
          <cell r="FM15">
            <v>2</v>
          </cell>
          <cell r="FN15">
            <v>3</v>
          </cell>
          <cell r="FO15">
            <v>2</v>
          </cell>
          <cell r="FP15">
            <v>3</v>
          </cell>
          <cell r="FQ15">
            <v>2</v>
          </cell>
          <cell r="FR15">
            <v>3</v>
          </cell>
          <cell r="FS15">
            <v>2</v>
          </cell>
          <cell r="FT15">
            <v>2</v>
          </cell>
          <cell r="FU15">
            <v>3</v>
          </cell>
          <cell r="FV15">
            <v>2</v>
          </cell>
          <cell r="FW15">
            <v>2</v>
          </cell>
          <cell r="FX15">
            <v>3</v>
          </cell>
          <cell r="FY15">
            <v>3</v>
          </cell>
          <cell r="FZ15">
            <v>3</v>
          </cell>
          <cell r="GA15">
            <v>2</v>
          </cell>
          <cell r="GB15">
            <v>2</v>
          </cell>
          <cell r="GC15">
            <v>33</v>
          </cell>
        </row>
        <row r="16">
          <cell r="A16">
            <v>849</v>
          </cell>
          <cell r="B16">
            <v>2</v>
          </cell>
          <cell r="C16">
            <v>23</v>
          </cell>
          <cell r="D16">
            <v>0</v>
          </cell>
          <cell r="E16" t="str">
            <v xml:space="preserve"> </v>
          </cell>
          <cell r="F16">
            <v>5</v>
          </cell>
          <cell r="G16">
            <v>0</v>
          </cell>
          <cell r="H16" t="str">
            <v xml:space="preserve"> </v>
          </cell>
          <cell r="I16">
            <v>2</v>
          </cell>
          <cell r="J16" t="str">
            <v>Registered Nurse</v>
          </cell>
          <cell r="K16">
            <v>2</v>
          </cell>
          <cell r="L16">
            <v>5</v>
          </cell>
          <cell r="M16" t="str">
            <v xml:space="preserve"> </v>
          </cell>
          <cell r="N16" t="str">
            <v>5'4</v>
          </cell>
          <cell r="O16">
            <v>114</v>
          </cell>
          <cell r="P16" t="str">
            <v xml:space="preserve"> </v>
          </cell>
          <cell r="Q16" t="str">
            <v xml:space="preserve"> </v>
          </cell>
          <cell r="R16">
            <v>0</v>
          </cell>
          <cell r="S16" t="str">
            <v xml:space="preserve"> </v>
          </cell>
          <cell r="T16">
            <v>0</v>
          </cell>
          <cell r="U16" t="str">
            <v xml:space="preserve"> </v>
          </cell>
          <cell r="V16" t="str">
            <v xml:space="preserve"> </v>
          </cell>
          <cell r="W16">
            <v>0</v>
          </cell>
          <cell r="X16">
            <v>0</v>
          </cell>
          <cell r="Y16">
            <v>0</v>
          </cell>
          <cell r="Z16">
            <v>0</v>
          </cell>
          <cell r="AA16">
            <v>0</v>
          </cell>
          <cell r="AB16">
            <v>0</v>
          </cell>
          <cell r="AC16">
            <v>0</v>
          </cell>
          <cell r="AD16">
            <v>1</v>
          </cell>
          <cell r="AE16">
            <v>1</v>
          </cell>
          <cell r="AF16">
            <v>0</v>
          </cell>
          <cell r="AG16">
            <v>0</v>
          </cell>
          <cell r="AH16">
            <v>0</v>
          </cell>
          <cell r="AI16">
            <v>0</v>
          </cell>
          <cell r="AJ16">
            <v>0</v>
          </cell>
          <cell r="AK16">
            <v>0</v>
          </cell>
          <cell r="AL16">
            <v>0</v>
          </cell>
          <cell r="AM16">
            <v>0</v>
          </cell>
          <cell r="AN16">
            <v>0</v>
          </cell>
          <cell r="AO16">
            <v>0</v>
          </cell>
          <cell r="AP16">
            <v>1</v>
          </cell>
          <cell r="AQ16" t="str">
            <v xml:space="preserve"> </v>
          </cell>
          <cell r="AR16">
            <v>0</v>
          </cell>
          <cell r="AS16">
            <v>1</v>
          </cell>
          <cell r="AT16">
            <v>0</v>
          </cell>
          <cell r="AU16">
            <v>0</v>
          </cell>
          <cell r="AV16">
            <v>1</v>
          </cell>
          <cell r="AW16">
            <v>0</v>
          </cell>
          <cell r="AX16">
            <v>0</v>
          </cell>
          <cell r="AY16">
            <v>0</v>
          </cell>
          <cell r="AZ16">
            <v>30</v>
          </cell>
          <cell r="BA16">
            <v>4</v>
          </cell>
          <cell r="BB16">
            <v>1</v>
          </cell>
          <cell r="BC16">
            <v>0</v>
          </cell>
          <cell r="BD16">
            <v>2</v>
          </cell>
          <cell r="BE16">
            <v>0</v>
          </cell>
          <cell r="BF16">
            <v>15</v>
          </cell>
          <cell r="BG16">
            <v>2</v>
          </cell>
          <cell r="BH16">
            <v>0</v>
          </cell>
          <cell r="BI16">
            <v>20</v>
          </cell>
          <cell r="BJ16">
            <v>2</v>
          </cell>
          <cell r="BK16">
            <v>15</v>
          </cell>
          <cell r="BL16">
            <v>135</v>
          </cell>
          <cell r="BM16">
            <v>132</v>
          </cell>
          <cell r="BN16">
            <v>120</v>
          </cell>
          <cell r="BO16">
            <v>1920</v>
          </cell>
          <cell r="BP16">
            <v>2172</v>
          </cell>
          <cell r="BQ16">
            <v>2</v>
          </cell>
          <cell r="BR16">
            <v>7</v>
          </cell>
          <cell r="BS16">
            <v>7</v>
          </cell>
          <cell r="BT16">
            <v>7</v>
          </cell>
          <cell r="BU16">
            <v>7</v>
          </cell>
          <cell r="BV16">
            <v>7</v>
          </cell>
          <cell r="BW16">
            <v>4</v>
          </cell>
          <cell r="BX16">
            <v>4</v>
          </cell>
          <cell r="BY16">
            <v>5</v>
          </cell>
          <cell r="BZ16">
            <v>4</v>
          </cell>
          <cell r="CA16">
            <v>6</v>
          </cell>
          <cell r="CB16">
            <v>4</v>
          </cell>
          <cell r="CC16">
            <v>4</v>
          </cell>
          <cell r="CD16">
            <v>6.75</v>
          </cell>
          <cell r="CE16">
            <v>5.75</v>
          </cell>
          <cell r="CF16">
            <v>4</v>
          </cell>
          <cell r="CG16">
            <v>5.5</v>
          </cell>
          <cell r="CH16">
            <v>6</v>
          </cell>
          <cell r="CI16">
            <v>4</v>
          </cell>
          <cell r="CJ16">
            <v>8</v>
          </cell>
          <cell r="CK16">
            <v>6</v>
          </cell>
          <cell r="CL16">
            <v>1</v>
          </cell>
          <cell r="CM16">
            <v>9</v>
          </cell>
          <cell r="CN16">
            <v>5</v>
          </cell>
          <cell r="CO16">
            <v>1</v>
          </cell>
          <cell r="CP16">
            <v>4</v>
          </cell>
          <cell r="CQ16">
            <v>3</v>
          </cell>
          <cell r="CR16">
            <v>6</v>
          </cell>
          <cell r="CS16">
            <v>8</v>
          </cell>
          <cell r="CT16">
            <v>9</v>
          </cell>
          <cell r="CU16">
            <v>8</v>
          </cell>
          <cell r="CV16">
            <v>7</v>
          </cell>
          <cell r="CW16">
            <v>1</v>
          </cell>
          <cell r="CX16">
            <v>5</v>
          </cell>
          <cell r="CY16">
            <v>6</v>
          </cell>
          <cell r="CZ16">
            <v>2</v>
          </cell>
          <cell r="DA16">
            <v>1</v>
          </cell>
          <cell r="DB16">
            <v>1</v>
          </cell>
          <cell r="DC16">
            <v>101</v>
          </cell>
          <cell r="DD16">
            <v>11</v>
          </cell>
          <cell r="DE16">
            <v>24</v>
          </cell>
          <cell r="DF16">
            <v>14</v>
          </cell>
          <cell r="DG16">
            <v>11</v>
          </cell>
          <cell r="DH16">
            <v>6</v>
          </cell>
          <cell r="DI16">
            <v>20</v>
          </cell>
          <cell r="DJ16">
            <v>15</v>
          </cell>
          <cell r="DK16">
            <v>22</v>
          </cell>
          <cell r="DL16">
            <v>20</v>
          </cell>
          <cell r="DM16">
            <v>11</v>
          </cell>
          <cell r="DN16">
            <v>8</v>
          </cell>
          <cell r="DO16">
            <v>28</v>
          </cell>
          <cell r="DP16">
            <v>10</v>
          </cell>
          <cell r="DQ16">
            <v>3</v>
          </cell>
          <cell r="DR16">
            <v>2</v>
          </cell>
          <cell r="DS16">
            <v>2</v>
          </cell>
          <cell r="DT16">
            <v>0</v>
          </cell>
          <cell r="DU16">
            <v>3</v>
          </cell>
          <cell r="DV16">
            <v>2</v>
          </cell>
          <cell r="DW16">
            <v>3</v>
          </cell>
          <cell r="DX16">
            <v>3</v>
          </cell>
          <cell r="DY16">
            <v>3</v>
          </cell>
          <cell r="DZ16">
            <v>2</v>
          </cell>
          <cell r="EA16">
            <v>3</v>
          </cell>
          <cell r="EB16">
            <v>3</v>
          </cell>
          <cell r="EC16">
            <v>3</v>
          </cell>
          <cell r="ED16">
            <v>3</v>
          </cell>
          <cell r="EE16">
            <v>3</v>
          </cell>
          <cell r="EF16">
            <v>2</v>
          </cell>
          <cell r="EG16">
            <v>3</v>
          </cell>
          <cell r="EH16">
            <v>2</v>
          </cell>
          <cell r="EI16">
            <v>2</v>
          </cell>
          <cell r="EJ16">
            <v>1</v>
          </cell>
          <cell r="EK16">
            <v>2</v>
          </cell>
          <cell r="EL16">
            <v>28</v>
          </cell>
          <cell r="EM16">
            <v>34</v>
          </cell>
          <cell r="EN16">
            <v>38</v>
          </cell>
          <cell r="EO16">
            <v>100</v>
          </cell>
          <cell r="EP16">
            <v>1</v>
          </cell>
          <cell r="EQ16">
            <v>2</v>
          </cell>
          <cell r="ER16">
            <v>1</v>
          </cell>
          <cell r="ES16">
            <v>1</v>
          </cell>
          <cell r="ET16">
            <v>3</v>
          </cell>
          <cell r="EU16">
            <v>1</v>
          </cell>
          <cell r="EV16">
            <v>3</v>
          </cell>
          <cell r="EW16">
            <v>3</v>
          </cell>
          <cell r="EX16">
            <v>1</v>
          </cell>
          <cell r="EY16">
            <v>3</v>
          </cell>
          <cell r="EZ16">
            <v>3</v>
          </cell>
          <cell r="FA16">
            <v>2</v>
          </cell>
          <cell r="FB16">
            <v>2</v>
          </cell>
          <cell r="FC16">
            <v>2</v>
          </cell>
          <cell r="FD16">
            <v>2</v>
          </cell>
          <cell r="FE16">
            <v>2</v>
          </cell>
          <cell r="FF16">
            <v>1</v>
          </cell>
          <cell r="FG16">
            <v>33</v>
          </cell>
          <cell r="FH16">
            <v>3</v>
          </cell>
          <cell r="FI16">
            <v>2</v>
          </cell>
          <cell r="FJ16">
            <v>2</v>
          </cell>
          <cell r="FK16">
            <v>2</v>
          </cell>
          <cell r="FL16">
            <v>3</v>
          </cell>
          <cell r="FM16">
            <v>3</v>
          </cell>
          <cell r="FN16">
            <v>2</v>
          </cell>
          <cell r="FO16">
            <v>3</v>
          </cell>
          <cell r="FP16">
            <v>2</v>
          </cell>
          <cell r="FQ16">
            <v>3</v>
          </cell>
          <cell r="FR16">
            <v>3</v>
          </cell>
          <cell r="FS16">
            <v>2</v>
          </cell>
          <cell r="FT16">
            <v>3</v>
          </cell>
          <cell r="FU16">
            <v>3</v>
          </cell>
          <cell r="FV16">
            <v>2</v>
          </cell>
          <cell r="FW16">
            <v>2</v>
          </cell>
          <cell r="FX16">
            <v>3</v>
          </cell>
          <cell r="FY16">
            <v>2</v>
          </cell>
          <cell r="FZ16">
            <v>3</v>
          </cell>
          <cell r="GA16">
            <v>2</v>
          </cell>
          <cell r="GB16">
            <v>2</v>
          </cell>
          <cell r="GC16">
            <v>33</v>
          </cell>
        </row>
        <row r="17">
          <cell r="A17">
            <v>855</v>
          </cell>
          <cell r="B17">
            <v>0</v>
          </cell>
          <cell r="C17">
            <v>39</v>
          </cell>
          <cell r="D17">
            <v>0</v>
          </cell>
          <cell r="E17" t="str">
            <v xml:space="preserve"> </v>
          </cell>
          <cell r="F17">
            <v>3</v>
          </cell>
          <cell r="G17">
            <v>0</v>
          </cell>
          <cell r="H17" t="str">
            <v xml:space="preserve"> </v>
          </cell>
          <cell r="I17">
            <v>3</v>
          </cell>
          <cell r="J17" t="str">
            <v xml:space="preserve"> </v>
          </cell>
          <cell r="K17">
            <v>2</v>
          </cell>
          <cell r="L17">
            <v>5</v>
          </cell>
          <cell r="M17" t="str">
            <v xml:space="preserve"> </v>
          </cell>
          <cell r="N17">
            <v>5.5</v>
          </cell>
          <cell r="O17">
            <v>160</v>
          </cell>
          <cell r="P17" t="str">
            <v xml:space="preserve"> </v>
          </cell>
          <cell r="Q17" t="str">
            <v xml:space="preserve"> </v>
          </cell>
          <cell r="R17">
            <v>0</v>
          </cell>
          <cell r="S17">
            <v>3</v>
          </cell>
          <cell r="T17">
            <v>0</v>
          </cell>
          <cell r="U17" t="str">
            <v xml:space="preserve"> </v>
          </cell>
          <cell r="V17" t="str">
            <v xml:space="preserve"> </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t="str">
            <v xml:space="preserve"> </v>
          </cell>
          <cell r="AR17">
            <v>0</v>
          </cell>
          <cell r="AS17">
            <v>0</v>
          </cell>
          <cell r="AT17">
            <v>1</v>
          </cell>
          <cell r="AU17">
            <v>0</v>
          </cell>
          <cell r="AV17">
            <v>0</v>
          </cell>
          <cell r="AW17">
            <v>0</v>
          </cell>
          <cell r="AX17">
            <v>0</v>
          </cell>
          <cell r="AY17">
            <v>0</v>
          </cell>
          <cell r="AZ17">
            <v>3</v>
          </cell>
          <cell r="BA17">
            <v>1</v>
          </cell>
          <cell r="BB17">
            <v>1</v>
          </cell>
          <cell r="BC17">
            <v>30</v>
          </cell>
          <cell r="BD17">
            <v>3</v>
          </cell>
          <cell r="BE17">
            <v>1</v>
          </cell>
          <cell r="BF17">
            <v>30</v>
          </cell>
          <cell r="BG17">
            <v>2</v>
          </cell>
          <cell r="BH17">
            <v>1</v>
          </cell>
          <cell r="BI17">
            <v>0</v>
          </cell>
          <cell r="BJ17">
            <v>4</v>
          </cell>
          <cell r="BK17">
            <v>0</v>
          </cell>
          <cell r="BL17">
            <v>240</v>
          </cell>
          <cell r="BM17">
            <v>396</v>
          </cell>
          <cell r="BN17">
            <v>1080</v>
          </cell>
          <cell r="BO17">
            <v>720</v>
          </cell>
          <cell r="BP17">
            <v>2196</v>
          </cell>
          <cell r="BQ17">
            <v>2</v>
          </cell>
          <cell r="BR17">
            <v>4</v>
          </cell>
          <cell r="BS17">
            <v>7</v>
          </cell>
          <cell r="BT17">
            <v>4</v>
          </cell>
          <cell r="BU17">
            <v>3</v>
          </cell>
          <cell r="BV17">
            <v>7</v>
          </cell>
          <cell r="BW17">
            <v>7</v>
          </cell>
          <cell r="BX17">
            <v>7</v>
          </cell>
          <cell r="BY17">
            <v>3</v>
          </cell>
          <cell r="BZ17">
            <v>7</v>
          </cell>
          <cell r="CA17">
            <v>7</v>
          </cell>
          <cell r="CB17">
            <v>3</v>
          </cell>
          <cell r="CC17">
            <v>7</v>
          </cell>
          <cell r="CD17">
            <v>6.25</v>
          </cell>
          <cell r="CE17">
            <v>3.25</v>
          </cell>
          <cell r="CF17">
            <v>7</v>
          </cell>
          <cell r="CG17">
            <v>5.5</v>
          </cell>
          <cell r="CH17">
            <v>1</v>
          </cell>
          <cell r="CI17">
            <v>9</v>
          </cell>
          <cell r="CJ17">
            <v>9</v>
          </cell>
          <cell r="CK17">
            <v>9</v>
          </cell>
          <cell r="CL17">
            <v>7</v>
          </cell>
          <cell r="CM17">
            <v>5</v>
          </cell>
          <cell r="CN17">
            <v>9</v>
          </cell>
          <cell r="CO17">
            <v>9</v>
          </cell>
          <cell r="CP17">
            <v>3</v>
          </cell>
          <cell r="CQ17">
            <v>9</v>
          </cell>
          <cell r="CR17">
            <v>9</v>
          </cell>
          <cell r="CS17">
            <v>9</v>
          </cell>
          <cell r="CT17">
            <v>7</v>
          </cell>
          <cell r="CU17">
            <v>7</v>
          </cell>
          <cell r="CV17">
            <v>9</v>
          </cell>
          <cell r="CW17">
            <v>5</v>
          </cell>
          <cell r="CX17">
            <v>9</v>
          </cell>
          <cell r="CY17">
            <v>7</v>
          </cell>
          <cell r="CZ17">
            <v>9</v>
          </cell>
          <cell r="DA17">
            <v>8</v>
          </cell>
          <cell r="DB17">
            <v>8</v>
          </cell>
          <cell r="DC17">
            <v>157</v>
          </cell>
          <cell r="DD17">
            <v>9</v>
          </cell>
          <cell r="DE17">
            <v>19</v>
          </cell>
          <cell r="DF17">
            <v>26</v>
          </cell>
          <cell r="DG17">
            <v>27</v>
          </cell>
          <cell r="DH17">
            <v>24</v>
          </cell>
          <cell r="DI17">
            <v>25</v>
          </cell>
          <cell r="DJ17">
            <v>27</v>
          </cell>
          <cell r="DK17">
            <v>25</v>
          </cell>
          <cell r="DL17">
            <v>28</v>
          </cell>
          <cell r="DM17">
            <v>30</v>
          </cell>
          <cell r="DN17">
            <v>23</v>
          </cell>
          <cell r="DO17">
            <v>24</v>
          </cell>
          <cell r="DP17">
            <v>23</v>
          </cell>
          <cell r="DQ17">
            <v>0</v>
          </cell>
          <cell r="DR17">
            <v>0</v>
          </cell>
          <cell r="DS17">
            <v>0</v>
          </cell>
          <cell r="DT17">
            <v>0</v>
          </cell>
          <cell r="DU17">
            <v>0</v>
          </cell>
          <cell r="DV17">
            <v>1</v>
          </cell>
          <cell r="DW17">
            <v>0</v>
          </cell>
          <cell r="DX17">
            <v>1</v>
          </cell>
          <cell r="DY17">
            <v>0</v>
          </cell>
          <cell r="DZ17">
            <v>0</v>
          </cell>
          <cell r="EA17">
            <v>0</v>
          </cell>
          <cell r="EB17">
            <v>0</v>
          </cell>
          <cell r="EC17">
            <v>0</v>
          </cell>
          <cell r="ED17">
            <v>2</v>
          </cell>
          <cell r="EE17">
            <v>0</v>
          </cell>
          <cell r="EF17">
            <v>0</v>
          </cell>
          <cell r="EG17">
            <v>0</v>
          </cell>
          <cell r="EH17">
            <v>0</v>
          </cell>
          <cell r="EI17">
            <v>0</v>
          </cell>
          <cell r="EJ17">
            <v>0</v>
          </cell>
          <cell r="EK17">
            <v>0</v>
          </cell>
          <cell r="EL17">
            <v>0</v>
          </cell>
          <cell r="EM17">
            <v>0</v>
          </cell>
          <cell r="EN17">
            <v>8</v>
          </cell>
          <cell r="EO17">
            <v>8</v>
          </cell>
          <cell r="EP17">
            <v>1</v>
          </cell>
          <cell r="EQ17">
            <v>1</v>
          </cell>
          <cell r="ER17">
            <v>1</v>
          </cell>
          <cell r="ES17">
            <v>2</v>
          </cell>
          <cell r="ET17">
            <v>1</v>
          </cell>
          <cell r="EU17">
            <v>2</v>
          </cell>
          <cell r="EV17">
            <v>2</v>
          </cell>
          <cell r="EW17">
            <v>5</v>
          </cell>
          <cell r="EX17">
            <v>1</v>
          </cell>
          <cell r="EY17">
            <v>5</v>
          </cell>
          <cell r="EZ17">
            <v>5</v>
          </cell>
          <cell r="FA17">
            <v>2</v>
          </cell>
          <cell r="FB17">
            <v>2</v>
          </cell>
          <cell r="FC17">
            <v>4</v>
          </cell>
          <cell r="FD17">
            <v>2</v>
          </cell>
          <cell r="FE17">
            <v>5</v>
          </cell>
          <cell r="FF17">
            <v>1</v>
          </cell>
          <cell r="FG17">
            <v>42</v>
          </cell>
          <cell r="FH17">
            <v>3</v>
          </cell>
          <cell r="FI17">
            <v>2</v>
          </cell>
          <cell r="FJ17">
            <v>1</v>
          </cell>
          <cell r="FK17">
            <v>4</v>
          </cell>
          <cell r="FL17">
            <v>1</v>
          </cell>
          <cell r="FM17">
            <v>2</v>
          </cell>
          <cell r="FN17">
            <v>1</v>
          </cell>
          <cell r="FO17">
            <v>4</v>
          </cell>
          <cell r="FP17">
            <v>1</v>
          </cell>
          <cell r="FQ17">
            <v>2</v>
          </cell>
          <cell r="FR17">
            <v>4</v>
          </cell>
          <cell r="FS17">
            <v>1</v>
          </cell>
          <cell r="FT17">
            <v>1</v>
          </cell>
          <cell r="FU17">
            <v>4</v>
          </cell>
          <cell r="FV17">
            <v>1</v>
          </cell>
          <cell r="FW17">
            <v>4</v>
          </cell>
          <cell r="FX17">
            <v>1</v>
          </cell>
          <cell r="FY17">
            <v>2</v>
          </cell>
          <cell r="FZ17">
            <v>3</v>
          </cell>
          <cell r="GA17">
            <v>2</v>
          </cell>
          <cell r="GB17">
            <v>1</v>
          </cell>
          <cell r="GC17">
            <v>19</v>
          </cell>
        </row>
        <row r="18">
          <cell r="A18">
            <v>857</v>
          </cell>
          <cell r="B18">
            <v>2</v>
          </cell>
          <cell r="C18">
            <v>54</v>
          </cell>
          <cell r="D18">
            <v>0</v>
          </cell>
          <cell r="E18" t="str">
            <v xml:space="preserve"> </v>
          </cell>
          <cell r="F18">
            <v>5</v>
          </cell>
          <cell r="G18">
            <v>0</v>
          </cell>
          <cell r="H18" t="str">
            <v xml:space="preserve"> </v>
          </cell>
          <cell r="I18">
            <v>2</v>
          </cell>
          <cell r="J18" t="str">
            <v>nurse</v>
          </cell>
          <cell r="K18">
            <v>2</v>
          </cell>
          <cell r="L18">
            <v>5</v>
          </cell>
          <cell r="M18" t="str">
            <v xml:space="preserve"> </v>
          </cell>
          <cell r="N18">
            <v>5</v>
          </cell>
          <cell r="O18">
            <v>164</v>
          </cell>
          <cell r="P18" t="str">
            <v xml:space="preserve"> </v>
          </cell>
          <cell r="Q18" t="str">
            <v xml:space="preserve"> </v>
          </cell>
          <cell r="R18">
            <v>1</v>
          </cell>
          <cell r="S18">
            <v>1</v>
          </cell>
          <cell r="T18">
            <v>0</v>
          </cell>
          <cell r="U18" t="str">
            <v xml:space="preserve"> </v>
          </cell>
          <cell r="V18" t="str">
            <v xml:space="preserve"> </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t="str">
            <v xml:space="preserve"> </v>
          </cell>
          <cell r="AR18">
            <v>0</v>
          </cell>
          <cell r="AS18">
            <v>0</v>
          </cell>
          <cell r="AT18">
            <v>0</v>
          </cell>
          <cell r="AU18">
            <v>0</v>
          </cell>
          <cell r="AV18">
            <v>1</v>
          </cell>
          <cell r="AW18">
            <v>0</v>
          </cell>
          <cell r="AX18">
            <v>1</v>
          </cell>
          <cell r="AY18">
            <v>0</v>
          </cell>
          <cell r="AZ18">
            <v>17</v>
          </cell>
          <cell r="BA18">
            <v>0</v>
          </cell>
          <cell r="BB18" t="str">
            <v xml:space="preserve"> </v>
          </cell>
          <cell r="BC18" t="str">
            <v xml:space="preserve"> </v>
          </cell>
          <cell r="BD18">
            <v>0</v>
          </cell>
          <cell r="BE18" t="str">
            <v xml:space="preserve"> </v>
          </cell>
          <cell r="BF18" t="str">
            <v xml:space="preserve"> </v>
          </cell>
          <cell r="BG18">
            <v>5</v>
          </cell>
          <cell r="BH18">
            <v>2</v>
          </cell>
          <cell r="BI18">
            <v>30</v>
          </cell>
          <cell r="BJ18">
            <v>16</v>
          </cell>
          <cell r="BK18">
            <v>30</v>
          </cell>
          <cell r="BL18">
            <v>990</v>
          </cell>
          <cell r="BM18">
            <v>2475</v>
          </cell>
          <cell r="BN18">
            <v>0</v>
          </cell>
          <cell r="BO18">
            <v>0</v>
          </cell>
          <cell r="BP18">
            <v>2475</v>
          </cell>
          <cell r="BQ18">
            <v>2</v>
          </cell>
          <cell r="BR18">
            <v>4</v>
          </cell>
          <cell r="BS18">
            <v>4</v>
          </cell>
          <cell r="BT18">
            <v>7</v>
          </cell>
          <cell r="BU18">
            <v>6</v>
          </cell>
          <cell r="BV18">
            <v>4</v>
          </cell>
          <cell r="BW18">
            <v>5</v>
          </cell>
          <cell r="BX18">
            <v>5</v>
          </cell>
          <cell r="BY18">
            <v>3</v>
          </cell>
          <cell r="BZ18">
            <v>3</v>
          </cell>
          <cell r="CA18">
            <v>2</v>
          </cell>
          <cell r="CB18">
            <v>6</v>
          </cell>
          <cell r="CC18">
            <v>3</v>
          </cell>
          <cell r="CD18">
            <v>3.5</v>
          </cell>
          <cell r="CE18">
            <v>5.5</v>
          </cell>
          <cell r="CF18">
            <v>4</v>
          </cell>
          <cell r="CG18">
            <v>4.3333333329999997</v>
          </cell>
          <cell r="CH18">
            <v>3</v>
          </cell>
          <cell r="CI18">
            <v>1</v>
          </cell>
          <cell r="CJ18">
            <v>3</v>
          </cell>
          <cell r="CK18">
            <v>8</v>
          </cell>
          <cell r="CL18">
            <v>1</v>
          </cell>
          <cell r="CM18">
            <v>1</v>
          </cell>
          <cell r="CN18">
            <v>7</v>
          </cell>
          <cell r="CO18">
            <v>5</v>
          </cell>
          <cell r="CP18">
            <v>5</v>
          </cell>
          <cell r="CQ18">
            <v>5</v>
          </cell>
          <cell r="CR18">
            <v>4</v>
          </cell>
          <cell r="CS18">
            <v>6</v>
          </cell>
          <cell r="CT18">
            <v>2</v>
          </cell>
          <cell r="CU18">
            <v>6</v>
          </cell>
          <cell r="CV18">
            <v>5</v>
          </cell>
          <cell r="CW18">
            <v>3</v>
          </cell>
          <cell r="CX18">
            <v>3</v>
          </cell>
          <cell r="CY18">
            <v>5</v>
          </cell>
          <cell r="CZ18">
            <v>5</v>
          </cell>
          <cell r="DA18">
            <v>3</v>
          </cell>
          <cell r="DB18">
            <v>3</v>
          </cell>
          <cell r="DC18">
            <v>84</v>
          </cell>
          <cell r="DD18">
            <v>11</v>
          </cell>
          <cell r="DE18">
            <v>8</v>
          </cell>
          <cell r="DF18">
            <v>13</v>
          </cell>
          <cell r="DG18">
            <v>15</v>
          </cell>
          <cell r="DH18">
            <v>5</v>
          </cell>
          <cell r="DI18">
            <v>18</v>
          </cell>
          <cell r="DJ18">
            <v>14</v>
          </cell>
          <cell r="DK18">
            <v>20</v>
          </cell>
          <cell r="DL18">
            <v>19</v>
          </cell>
          <cell r="DM18">
            <v>12</v>
          </cell>
          <cell r="DN18">
            <v>12</v>
          </cell>
          <cell r="DO18">
            <v>10</v>
          </cell>
          <cell r="DP18">
            <v>11</v>
          </cell>
          <cell r="DQ18">
            <v>2</v>
          </cell>
          <cell r="DR18">
            <v>3</v>
          </cell>
          <cell r="DS18">
            <v>2</v>
          </cell>
          <cell r="DT18">
            <v>0</v>
          </cell>
          <cell r="DU18">
            <v>3</v>
          </cell>
          <cell r="DV18">
            <v>3</v>
          </cell>
          <cell r="DW18">
            <v>0</v>
          </cell>
          <cell r="DX18">
            <v>1</v>
          </cell>
          <cell r="DY18">
            <v>1</v>
          </cell>
          <cell r="DZ18">
            <v>3</v>
          </cell>
          <cell r="EA18">
            <v>3</v>
          </cell>
          <cell r="EB18">
            <v>1</v>
          </cell>
          <cell r="EC18">
            <v>3</v>
          </cell>
          <cell r="ED18">
            <v>1</v>
          </cell>
          <cell r="EE18">
            <v>0</v>
          </cell>
          <cell r="EF18">
            <v>3</v>
          </cell>
          <cell r="EG18">
            <v>1</v>
          </cell>
          <cell r="EH18">
            <v>3</v>
          </cell>
          <cell r="EI18">
            <v>2</v>
          </cell>
          <cell r="EJ18">
            <v>0</v>
          </cell>
          <cell r="EK18">
            <v>1</v>
          </cell>
          <cell r="EL18">
            <v>12</v>
          </cell>
          <cell r="EM18">
            <v>32</v>
          </cell>
          <cell r="EN18">
            <v>28</v>
          </cell>
          <cell r="EO18">
            <v>72</v>
          </cell>
          <cell r="EP18">
            <v>2</v>
          </cell>
          <cell r="EQ18">
            <v>2</v>
          </cell>
          <cell r="ER18">
            <v>1</v>
          </cell>
          <cell r="ES18">
            <v>4</v>
          </cell>
          <cell r="ET18">
            <v>5</v>
          </cell>
          <cell r="EU18">
            <v>5</v>
          </cell>
          <cell r="EV18">
            <v>5</v>
          </cell>
          <cell r="EW18">
            <v>5</v>
          </cell>
          <cell r="EX18">
            <v>5</v>
          </cell>
          <cell r="EY18">
            <v>5</v>
          </cell>
          <cell r="EZ18">
            <v>5</v>
          </cell>
          <cell r="FA18">
            <v>5</v>
          </cell>
          <cell r="FB18">
            <v>5</v>
          </cell>
          <cell r="FC18">
            <v>4</v>
          </cell>
          <cell r="FD18">
            <v>4</v>
          </cell>
          <cell r="FE18">
            <v>4</v>
          </cell>
          <cell r="FF18">
            <v>5</v>
          </cell>
          <cell r="FG18">
            <v>71</v>
          </cell>
          <cell r="FH18">
            <v>3</v>
          </cell>
          <cell r="FI18">
            <v>2</v>
          </cell>
          <cell r="FJ18">
            <v>2</v>
          </cell>
          <cell r="FK18">
            <v>1</v>
          </cell>
          <cell r="FL18">
            <v>4</v>
          </cell>
          <cell r="FM18">
            <v>3</v>
          </cell>
          <cell r="FN18">
            <v>2</v>
          </cell>
          <cell r="FO18">
            <v>3</v>
          </cell>
          <cell r="FP18">
            <v>2</v>
          </cell>
          <cell r="FQ18">
            <v>4</v>
          </cell>
          <cell r="FR18">
            <v>2</v>
          </cell>
          <cell r="FS18">
            <v>3</v>
          </cell>
          <cell r="FT18">
            <v>4</v>
          </cell>
          <cell r="FU18">
            <v>3</v>
          </cell>
          <cell r="FV18">
            <v>2</v>
          </cell>
          <cell r="FW18">
            <v>3</v>
          </cell>
          <cell r="FX18">
            <v>2</v>
          </cell>
          <cell r="FY18">
            <v>2</v>
          </cell>
          <cell r="FZ18">
            <v>2</v>
          </cell>
          <cell r="GA18">
            <v>3</v>
          </cell>
          <cell r="GB18">
            <v>3</v>
          </cell>
          <cell r="GC18">
            <v>38</v>
          </cell>
        </row>
        <row r="19">
          <cell r="A19">
            <v>858</v>
          </cell>
          <cell r="B19">
            <v>2</v>
          </cell>
          <cell r="C19">
            <v>24</v>
          </cell>
          <cell r="D19">
            <v>2</v>
          </cell>
          <cell r="E19" t="str">
            <v>Agender</v>
          </cell>
          <cell r="F19">
            <v>5</v>
          </cell>
          <cell r="G19">
            <v>0</v>
          </cell>
          <cell r="H19" t="str">
            <v xml:space="preserve"> </v>
          </cell>
          <cell r="I19">
            <v>2</v>
          </cell>
          <cell r="J19" t="str">
            <v>Project Coordinator for Human Re</v>
          </cell>
          <cell r="K19">
            <v>2</v>
          </cell>
          <cell r="L19">
            <v>5</v>
          </cell>
          <cell r="M19" t="str">
            <v xml:space="preserve"> </v>
          </cell>
          <cell r="N19" t="str">
            <v>5' 7</v>
          </cell>
          <cell r="O19">
            <v>145</v>
          </cell>
          <cell r="P19" t="str">
            <v xml:space="preserve"> </v>
          </cell>
          <cell r="Q19" t="str">
            <v xml:space="preserve"> </v>
          </cell>
          <cell r="R19" t="str">
            <v xml:space="preserve"> </v>
          </cell>
          <cell r="S19" t="str">
            <v xml:space="preserve"> </v>
          </cell>
          <cell r="T19">
            <v>0</v>
          </cell>
          <cell r="U19" t="str">
            <v xml:space="preserve"> </v>
          </cell>
          <cell r="V19" t="str">
            <v xml:space="preserve"> </v>
          </cell>
          <cell r="W19">
            <v>1</v>
          </cell>
          <cell r="X19">
            <v>0</v>
          </cell>
          <cell r="Y19">
            <v>0</v>
          </cell>
          <cell r="Z19">
            <v>0</v>
          </cell>
          <cell r="AA19">
            <v>0</v>
          </cell>
          <cell r="AB19">
            <v>0</v>
          </cell>
          <cell r="AC19">
            <v>0</v>
          </cell>
          <cell r="AD19">
            <v>1</v>
          </cell>
          <cell r="AE19">
            <v>1</v>
          </cell>
          <cell r="AF19">
            <v>0</v>
          </cell>
          <cell r="AG19">
            <v>0</v>
          </cell>
          <cell r="AH19">
            <v>0</v>
          </cell>
          <cell r="AI19">
            <v>0</v>
          </cell>
          <cell r="AJ19">
            <v>0</v>
          </cell>
          <cell r="AK19">
            <v>0</v>
          </cell>
          <cell r="AL19">
            <v>0</v>
          </cell>
          <cell r="AM19">
            <v>0</v>
          </cell>
          <cell r="AN19">
            <v>0</v>
          </cell>
          <cell r="AO19">
            <v>0</v>
          </cell>
          <cell r="AP19">
            <v>0</v>
          </cell>
          <cell r="AQ19" t="str">
            <v xml:space="preserve"> </v>
          </cell>
          <cell r="AR19">
            <v>1</v>
          </cell>
          <cell r="AS19">
            <v>1</v>
          </cell>
          <cell r="AT19">
            <v>1</v>
          </cell>
          <cell r="AU19">
            <v>0</v>
          </cell>
          <cell r="AV19">
            <v>1</v>
          </cell>
          <cell r="AW19">
            <v>1</v>
          </cell>
          <cell r="AX19">
            <v>1</v>
          </cell>
          <cell r="AY19">
            <v>0</v>
          </cell>
          <cell r="AZ19">
            <v>23</v>
          </cell>
          <cell r="BA19">
            <v>0</v>
          </cell>
          <cell r="BB19" t="str">
            <v xml:space="preserve"> </v>
          </cell>
          <cell r="BC19" t="str">
            <v xml:space="preserve"> </v>
          </cell>
          <cell r="BD19">
            <v>3</v>
          </cell>
          <cell r="BE19">
            <v>0</v>
          </cell>
          <cell r="BF19">
            <v>30</v>
          </cell>
          <cell r="BG19">
            <v>7</v>
          </cell>
          <cell r="BH19">
            <v>0</v>
          </cell>
          <cell r="BI19">
            <v>20</v>
          </cell>
          <cell r="BJ19">
            <v>10</v>
          </cell>
          <cell r="BK19">
            <v>0</v>
          </cell>
          <cell r="BL19">
            <v>600</v>
          </cell>
          <cell r="BM19">
            <v>462</v>
          </cell>
          <cell r="BN19">
            <v>360</v>
          </cell>
          <cell r="BO19">
            <v>0</v>
          </cell>
          <cell r="BP19">
            <v>822</v>
          </cell>
          <cell r="BQ19">
            <v>2</v>
          </cell>
          <cell r="BR19">
            <v>7</v>
          </cell>
          <cell r="BS19">
            <v>7</v>
          </cell>
          <cell r="BT19">
            <v>3</v>
          </cell>
          <cell r="BU19">
            <v>1</v>
          </cell>
          <cell r="BV19">
            <v>7</v>
          </cell>
          <cell r="BW19">
            <v>7</v>
          </cell>
          <cell r="BX19">
            <v>7</v>
          </cell>
          <cell r="BY19">
            <v>2</v>
          </cell>
          <cell r="BZ19">
            <v>7</v>
          </cell>
          <cell r="CA19">
            <v>7</v>
          </cell>
          <cell r="CB19">
            <v>6</v>
          </cell>
          <cell r="CC19">
            <v>7</v>
          </cell>
          <cell r="CD19">
            <v>7</v>
          </cell>
          <cell r="CE19">
            <v>3</v>
          </cell>
          <cell r="CF19">
            <v>7</v>
          </cell>
          <cell r="CG19">
            <v>5.6666666670000003</v>
          </cell>
          <cell r="CH19">
            <v>3</v>
          </cell>
          <cell r="CI19">
            <v>2</v>
          </cell>
          <cell r="CJ19">
            <v>2</v>
          </cell>
          <cell r="CK19">
            <v>2</v>
          </cell>
          <cell r="CL19">
            <v>2</v>
          </cell>
          <cell r="CM19">
            <v>8</v>
          </cell>
          <cell r="CN19">
            <v>2</v>
          </cell>
          <cell r="CO19">
            <v>1</v>
          </cell>
          <cell r="CP19">
            <v>3</v>
          </cell>
          <cell r="CQ19">
            <v>2</v>
          </cell>
          <cell r="CR19">
            <v>3</v>
          </cell>
          <cell r="CS19">
            <v>3</v>
          </cell>
          <cell r="CT19">
            <v>8</v>
          </cell>
          <cell r="CU19">
            <v>4</v>
          </cell>
          <cell r="CV19">
            <v>6</v>
          </cell>
          <cell r="CW19">
            <v>3</v>
          </cell>
          <cell r="CX19">
            <v>6</v>
          </cell>
          <cell r="CY19">
            <v>7</v>
          </cell>
          <cell r="CZ19">
            <v>8</v>
          </cell>
          <cell r="DA19">
            <v>7</v>
          </cell>
          <cell r="DB19">
            <v>3</v>
          </cell>
          <cell r="DC19">
            <v>85</v>
          </cell>
          <cell r="DD19">
            <v>9</v>
          </cell>
          <cell r="DE19">
            <v>23</v>
          </cell>
          <cell r="DF19">
            <v>7</v>
          </cell>
          <cell r="DG19">
            <v>9</v>
          </cell>
          <cell r="DH19">
            <v>11</v>
          </cell>
          <cell r="DI19">
            <v>9</v>
          </cell>
          <cell r="DJ19">
            <v>17</v>
          </cell>
          <cell r="DK19">
            <v>9</v>
          </cell>
          <cell r="DL19">
            <v>21</v>
          </cell>
          <cell r="DM19">
            <v>18</v>
          </cell>
          <cell r="DN19">
            <v>7</v>
          </cell>
          <cell r="DO19">
            <v>19</v>
          </cell>
          <cell r="DP19">
            <v>11</v>
          </cell>
          <cell r="DQ19">
            <v>1</v>
          </cell>
          <cell r="DR19">
            <v>1</v>
          </cell>
          <cell r="DS19">
            <v>2</v>
          </cell>
          <cell r="DT19">
            <v>0</v>
          </cell>
          <cell r="DU19">
            <v>3</v>
          </cell>
          <cell r="DV19">
            <v>2</v>
          </cell>
          <cell r="DW19">
            <v>1</v>
          </cell>
          <cell r="DX19">
            <v>2</v>
          </cell>
          <cell r="DY19">
            <v>3</v>
          </cell>
          <cell r="DZ19">
            <v>3</v>
          </cell>
          <cell r="EA19">
            <v>3</v>
          </cell>
          <cell r="EB19">
            <v>3</v>
          </cell>
          <cell r="EC19">
            <v>3</v>
          </cell>
          <cell r="ED19">
            <v>3</v>
          </cell>
          <cell r="EE19">
            <v>1</v>
          </cell>
          <cell r="EF19">
            <v>3</v>
          </cell>
          <cell r="EG19">
            <v>2</v>
          </cell>
          <cell r="EH19">
            <v>3</v>
          </cell>
          <cell r="EI19">
            <v>0</v>
          </cell>
          <cell r="EJ19">
            <v>0</v>
          </cell>
          <cell r="EK19">
            <v>2</v>
          </cell>
          <cell r="EL19">
            <v>6</v>
          </cell>
          <cell r="EM19">
            <v>18</v>
          </cell>
          <cell r="EN19">
            <v>17</v>
          </cell>
          <cell r="EO19">
            <v>41</v>
          </cell>
          <cell r="EP19">
            <v>5</v>
          </cell>
          <cell r="EQ19">
            <v>5</v>
          </cell>
          <cell r="ER19">
            <v>2</v>
          </cell>
          <cell r="ES19">
            <v>5</v>
          </cell>
          <cell r="ET19">
            <v>5</v>
          </cell>
          <cell r="EU19">
            <v>2</v>
          </cell>
          <cell r="EV19">
            <v>1</v>
          </cell>
          <cell r="EW19">
            <v>3</v>
          </cell>
          <cell r="EX19">
            <v>3</v>
          </cell>
          <cell r="EY19">
            <v>5</v>
          </cell>
          <cell r="EZ19">
            <v>5</v>
          </cell>
          <cell r="FA19">
            <v>5</v>
          </cell>
          <cell r="FB19">
            <v>5</v>
          </cell>
          <cell r="FC19">
            <v>2</v>
          </cell>
          <cell r="FD19">
            <v>2</v>
          </cell>
          <cell r="FE19">
            <v>5</v>
          </cell>
          <cell r="FF19">
            <v>1</v>
          </cell>
          <cell r="FG19">
            <v>5</v>
          </cell>
          <cell r="FH19">
            <v>2</v>
          </cell>
          <cell r="FI19">
            <v>3</v>
          </cell>
          <cell r="FJ19">
            <v>2</v>
          </cell>
          <cell r="FK19">
            <v>2</v>
          </cell>
          <cell r="FL19">
            <v>3</v>
          </cell>
          <cell r="FM19">
            <v>4</v>
          </cell>
          <cell r="FN19">
            <v>4</v>
          </cell>
          <cell r="FO19">
            <v>1</v>
          </cell>
          <cell r="FP19">
            <v>4</v>
          </cell>
          <cell r="FQ19">
            <v>2</v>
          </cell>
          <cell r="FR19">
            <v>1</v>
          </cell>
          <cell r="FS19">
            <v>4</v>
          </cell>
          <cell r="FT19">
            <v>4</v>
          </cell>
          <cell r="FU19">
            <v>2</v>
          </cell>
          <cell r="FV19">
            <v>3</v>
          </cell>
          <cell r="FW19">
            <v>2</v>
          </cell>
          <cell r="FX19">
            <v>3</v>
          </cell>
          <cell r="FY19">
            <v>4</v>
          </cell>
          <cell r="FZ19">
            <v>3</v>
          </cell>
          <cell r="GA19">
            <v>2</v>
          </cell>
          <cell r="GB19">
            <v>2</v>
          </cell>
          <cell r="GC19">
            <v>44</v>
          </cell>
        </row>
        <row r="20">
          <cell r="A20">
            <v>859</v>
          </cell>
          <cell r="B20">
            <v>0</v>
          </cell>
          <cell r="C20">
            <v>60</v>
          </cell>
          <cell r="D20">
            <v>0</v>
          </cell>
          <cell r="E20" t="str">
            <v xml:space="preserve"> </v>
          </cell>
          <cell r="F20">
            <v>1</v>
          </cell>
          <cell r="G20">
            <v>1</v>
          </cell>
          <cell r="H20">
            <v>2</v>
          </cell>
          <cell r="I20">
            <v>4</v>
          </cell>
          <cell r="J20" t="str">
            <v xml:space="preserve"> </v>
          </cell>
          <cell r="K20">
            <v>2</v>
          </cell>
          <cell r="L20">
            <v>5</v>
          </cell>
          <cell r="M20" t="str">
            <v xml:space="preserve"> </v>
          </cell>
          <cell r="N20" t="str">
            <v>551/2</v>
          </cell>
          <cell r="O20">
            <v>129</v>
          </cell>
          <cell r="P20" t="str">
            <v xml:space="preserve"> </v>
          </cell>
          <cell r="Q20" t="str">
            <v xml:space="preserve"> </v>
          </cell>
          <cell r="R20" t="str">
            <v xml:space="preserve"> </v>
          </cell>
          <cell r="S20" t="str">
            <v xml:space="preserve"> </v>
          </cell>
          <cell r="T20">
            <v>0</v>
          </cell>
          <cell r="U20" t="str">
            <v xml:space="preserve"> </v>
          </cell>
          <cell r="V20" t="str">
            <v xml:space="preserve"> </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t="str">
            <v xml:space="preserve"> </v>
          </cell>
          <cell r="AR20">
            <v>0</v>
          </cell>
          <cell r="AS20">
            <v>0</v>
          </cell>
          <cell r="AT20">
            <v>0</v>
          </cell>
          <cell r="AU20">
            <v>0</v>
          </cell>
          <cell r="AV20">
            <v>0</v>
          </cell>
          <cell r="AW20">
            <v>0</v>
          </cell>
          <cell r="AX20">
            <v>0</v>
          </cell>
          <cell r="AY20">
            <v>0</v>
          </cell>
          <cell r="AZ20">
            <v>0</v>
          </cell>
          <cell r="BA20">
            <v>0</v>
          </cell>
          <cell r="BB20" t="str">
            <v xml:space="preserve"> </v>
          </cell>
          <cell r="BC20" t="str">
            <v xml:space="preserve"> </v>
          </cell>
          <cell r="BD20">
            <v>0</v>
          </cell>
          <cell r="BE20" t="str">
            <v xml:space="preserve"> </v>
          </cell>
          <cell r="BF20" t="str">
            <v xml:space="preserve"> </v>
          </cell>
          <cell r="BG20">
            <v>7</v>
          </cell>
          <cell r="BH20">
            <v>2</v>
          </cell>
          <cell r="BI20">
            <v>30</v>
          </cell>
          <cell r="BJ20">
            <v>4</v>
          </cell>
          <cell r="BK20">
            <v>0</v>
          </cell>
          <cell r="BL20">
            <v>240</v>
          </cell>
          <cell r="BM20">
            <v>3465</v>
          </cell>
          <cell r="BN20">
            <v>0</v>
          </cell>
          <cell r="BO20">
            <v>0</v>
          </cell>
          <cell r="BP20">
            <v>3465</v>
          </cell>
          <cell r="BQ20">
            <v>3</v>
          </cell>
          <cell r="BR20">
            <v>7</v>
          </cell>
          <cell r="BS20">
            <v>7</v>
          </cell>
          <cell r="BT20">
            <v>7</v>
          </cell>
          <cell r="BU20">
            <v>7</v>
          </cell>
          <cell r="BV20">
            <v>7</v>
          </cell>
          <cell r="BW20">
            <v>6</v>
          </cell>
          <cell r="BX20">
            <v>6</v>
          </cell>
          <cell r="BY20">
            <v>7</v>
          </cell>
          <cell r="BZ20">
            <v>6</v>
          </cell>
          <cell r="CA20">
            <v>7</v>
          </cell>
          <cell r="CB20">
            <v>7</v>
          </cell>
          <cell r="CC20">
            <v>6</v>
          </cell>
          <cell r="CD20">
            <v>7</v>
          </cell>
          <cell r="CE20">
            <v>7</v>
          </cell>
          <cell r="CF20">
            <v>6</v>
          </cell>
          <cell r="CG20">
            <v>6.6666666670000003</v>
          </cell>
          <cell r="CH20">
            <v>7</v>
          </cell>
          <cell r="CI20">
            <v>9</v>
          </cell>
          <cell r="CJ20">
            <v>9</v>
          </cell>
          <cell r="CK20">
            <v>7</v>
          </cell>
          <cell r="CL20">
            <v>7</v>
          </cell>
          <cell r="CM20">
            <v>8</v>
          </cell>
          <cell r="CN20">
            <v>9</v>
          </cell>
          <cell r="CO20">
            <v>8</v>
          </cell>
          <cell r="CP20">
            <v>8</v>
          </cell>
          <cell r="CQ20">
            <v>8</v>
          </cell>
          <cell r="CR20">
            <v>7</v>
          </cell>
          <cell r="CS20">
            <v>8</v>
          </cell>
          <cell r="CT20">
            <v>8</v>
          </cell>
          <cell r="CU20">
            <v>7</v>
          </cell>
          <cell r="CV20">
            <v>8</v>
          </cell>
          <cell r="CW20">
            <v>7</v>
          </cell>
          <cell r="CX20">
            <v>8</v>
          </cell>
          <cell r="CY20">
            <v>7</v>
          </cell>
          <cell r="CZ20">
            <v>8</v>
          </cell>
          <cell r="DA20">
            <v>8</v>
          </cell>
          <cell r="DB20">
            <v>9</v>
          </cell>
          <cell r="DC20">
            <v>165</v>
          </cell>
          <cell r="DD20">
            <v>22</v>
          </cell>
          <cell r="DE20">
            <v>23</v>
          </cell>
          <cell r="DF20">
            <v>27</v>
          </cell>
          <cell r="DG20">
            <v>24</v>
          </cell>
          <cell r="DH20">
            <v>24</v>
          </cell>
          <cell r="DI20">
            <v>21</v>
          </cell>
          <cell r="DJ20">
            <v>24</v>
          </cell>
          <cell r="DK20">
            <v>22</v>
          </cell>
          <cell r="DL20">
            <v>33</v>
          </cell>
          <cell r="DM20">
            <v>33</v>
          </cell>
          <cell r="DN20">
            <v>22</v>
          </cell>
          <cell r="DO20">
            <v>32</v>
          </cell>
          <cell r="DP20">
            <v>22</v>
          </cell>
          <cell r="DQ20">
            <v>0</v>
          </cell>
          <cell r="DR20">
            <v>0</v>
          </cell>
          <cell r="DS20">
            <v>0</v>
          </cell>
          <cell r="DT20">
            <v>0</v>
          </cell>
          <cell r="DU20">
            <v>0</v>
          </cell>
          <cell r="DV20">
            <v>1</v>
          </cell>
          <cell r="DW20">
            <v>0</v>
          </cell>
          <cell r="DX20">
            <v>0</v>
          </cell>
          <cell r="DY20">
            <v>0</v>
          </cell>
          <cell r="DZ20">
            <v>0</v>
          </cell>
          <cell r="EA20">
            <v>0</v>
          </cell>
          <cell r="EB20">
            <v>0</v>
          </cell>
          <cell r="EC20">
            <v>0</v>
          </cell>
          <cell r="ED20">
            <v>0</v>
          </cell>
          <cell r="EE20">
            <v>0</v>
          </cell>
          <cell r="EF20">
            <v>0</v>
          </cell>
          <cell r="EG20">
            <v>0</v>
          </cell>
          <cell r="EH20">
            <v>0</v>
          </cell>
          <cell r="EI20">
            <v>0</v>
          </cell>
          <cell r="EJ20">
            <v>0</v>
          </cell>
          <cell r="EK20">
            <v>0</v>
          </cell>
          <cell r="EL20">
            <v>0</v>
          </cell>
          <cell r="EM20">
            <v>0</v>
          </cell>
          <cell r="EN20">
            <v>2</v>
          </cell>
          <cell r="EO20">
            <v>2</v>
          </cell>
          <cell r="EP20">
            <v>1</v>
          </cell>
          <cell r="EQ20">
            <v>3</v>
          </cell>
          <cell r="ER20">
            <v>1</v>
          </cell>
          <cell r="ES20">
            <v>3</v>
          </cell>
          <cell r="ET20">
            <v>3</v>
          </cell>
          <cell r="EU20">
            <v>3</v>
          </cell>
          <cell r="EV20">
            <v>4</v>
          </cell>
          <cell r="EW20">
            <v>3</v>
          </cell>
          <cell r="EX20">
            <v>5</v>
          </cell>
          <cell r="EY20">
            <v>5</v>
          </cell>
          <cell r="EZ20">
            <v>5</v>
          </cell>
          <cell r="FA20">
            <v>2</v>
          </cell>
          <cell r="FB20">
            <v>5</v>
          </cell>
          <cell r="FC20">
            <v>2</v>
          </cell>
          <cell r="FD20">
            <v>2</v>
          </cell>
          <cell r="FE20">
            <v>5</v>
          </cell>
          <cell r="FF20">
            <v>5</v>
          </cell>
          <cell r="FG20">
            <v>57</v>
          </cell>
          <cell r="FH20">
            <v>4</v>
          </cell>
          <cell r="FI20">
            <v>1</v>
          </cell>
          <cell r="FJ20">
            <v>1</v>
          </cell>
          <cell r="FK20">
            <v>4</v>
          </cell>
          <cell r="FL20">
            <v>1</v>
          </cell>
          <cell r="FM20">
            <v>1</v>
          </cell>
          <cell r="FN20">
            <v>1</v>
          </cell>
          <cell r="FO20">
            <v>4</v>
          </cell>
          <cell r="FP20">
            <v>1</v>
          </cell>
          <cell r="FQ20">
            <v>1</v>
          </cell>
          <cell r="FR20">
            <v>4</v>
          </cell>
          <cell r="FS20">
            <v>1</v>
          </cell>
          <cell r="FT20">
            <v>1</v>
          </cell>
          <cell r="FU20">
            <v>4</v>
          </cell>
          <cell r="FV20">
            <v>1</v>
          </cell>
          <cell r="FW20">
            <v>4</v>
          </cell>
          <cell r="FX20">
            <v>1</v>
          </cell>
          <cell r="FY20">
            <v>1</v>
          </cell>
          <cell r="FZ20">
            <v>4</v>
          </cell>
          <cell r="GA20">
            <v>1</v>
          </cell>
          <cell r="GB20">
            <v>1</v>
          </cell>
          <cell r="GC20">
            <v>14</v>
          </cell>
        </row>
        <row r="21">
          <cell r="A21">
            <v>860</v>
          </cell>
          <cell r="B21">
            <v>2</v>
          </cell>
          <cell r="C21">
            <v>49</v>
          </cell>
          <cell r="D21">
            <v>0</v>
          </cell>
          <cell r="E21" t="str">
            <v xml:space="preserve"> </v>
          </cell>
          <cell r="F21">
            <v>1</v>
          </cell>
          <cell r="G21">
            <v>0</v>
          </cell>
          <cell r="H21" t="str">
            <v xml:space="preserve"> </v>
          </cell>
          <cell r="I21">
            <v>2</v>
          </cell>
          <cell r="J21" t="str">
            <v>Museum technician</v>
          </cell>
          <cell r="K21">
            <v>2</v>
          </cell>
          <cell r="L21">
            <v>5</v>
          </cell>
          <cell r="M21" t="str">
            <v xml:space="preserve"> </v>
          </cell>
          <cell r="N21" t="str">
            <v>5'4"</v>
          </cell>
          <cell r="O21">
            <v>160</v>
          </cell>
          <cell r="P21" t="str">
            <v xml:space="preserve"> </v>
          </cell>
          <cell r="Q21" t="str">
            <v xml:space="preserve"> </v>
          </cell>
          <cell r="R21">
            <v>1</v>
          </cell>
          <cell r="S21">
            <v>0</v>
          </cell>
          <cell r="T21">
            <v>0</v>
          </cell>
          <cell r="U21" t="str">
            <v xml:space="preserve"> </v>
          </cell>
          <cell r="V21" t="str">
            <v xml:space="preserve"> </v>
          </cell>
          <cell r="W21">
            <v>1</v>
          </cell>
          <cell r="X21">
            <v>0</v>
          </cell>
          <cell r="Y21">
            <v>0</v>
          </cell>
          <cell r="Z21">
            <v>0</v>
          </cell>
          <cell r="AA21">
            <v>0</v>
          </cell>
          <cell r="AB21">
            <v>0</v>
          </cell>
          <cell r="AC21">
            <v>0</v>
          </cell>
          <cell r="AD21">
            <v>1</v>
          </cell>
          <cell r="AE21">
            <v>1</v>
          </cell>
          <cell r="AF21">
            <v>0</v>
          </cell>
          <cell r="AG21">
            <v>0</v>
          </cell>
          <cell r="AH21">
            <v>0</v>
          </cell>
          <cell r="AI21">
            <v>1</v>
          </cell>
          <cell r="AJ21">
            <v>1</v>
          </cell>
          <cell r="AK21">
            <v>0</v>
          </cell>
          <cell r="AL21">
            <v>0</v>
          </cell>
          <cell r="AM21">
            <v>0</v>
          </cell>
          <cell r="AN21">
            <v>0</v>
          </cell>
          <cell r="AO21">
            <v>0</v>
          </cell>
          <cell r="AP21">
            <v>0</v>
          </cell>
          <cell r="AQ21" t="str">
            <v xml:space="preserve"> </v>
          </cell>
          <cell r="AR21">
            <v>1</v>
          </cell>
          <cell r="AS21">
            <v>0</v>
          </cell>
          <cell r="AT21">
            <v>1</v>
          </cell>
          <cell r="AU21">
            <v>0</v>
          </cell>
          <cell r="AV21">
            <v>1</v>
          </cell>
          <cell r="AW21">
            <v>1</v>
          </cell>
          <cell r="AX21">
            <v>0</v>
          </cell>
          <cell r="AY21">
            <v>0</v>
          </cell>
          <cell r="AZ21">
            <v>28</v>
          </cell>
          <cell r="BA21">
            <v>0</v>
          </cell>
          <cell r="BB21" t="str">
            <v xml:space="preserve"> </v>
          </cell>
          <cell r="BC21" t="str">
            <v xml:space="preserve"> </v>
          </cell>
          <cell r="BD21">
            <v>0</v>
          </cell>
          <cell r="BE21" t="str">
            <v xml:space="preserve"> </v>
          </cell>
          <cell r="BF21" t="str">
            <v xml:space="preserve"> </v>
          </cell>
          <cell r="BG21">
            <v>3</v>
          </cell>
          <cell r="BH21">
            <v>6</v>
          </cell>
          <cell r="BI21">
            <v>0</v>
          </cell>
          <cell r="BJ21">
            <v>12</v>
          </cell>
          <cell r="BK21">
            <v>0</v>
          </cell>
          <cell r="BL21">
            <v>720</v>
          </cell>
          <cell r="BM21">
            <v>3564</v>
          </cell>
          <cell r="BN21">
            <v>0</v>
          </cell>
          <cell r="BO21">
            <v>0</v>
          </cell>
          <cell r="BP21">
            <v>3564</v>
          </cell>
          <cell r="BQ21">
            <v>3</v>
          </cell>
          <cell r="BR21">
            <v>7</v>
          </cell>
          <cell r="BS21">
            <v>7</v>
          </cell>
          <cell r="BT21">
            <v>6</v>
          </cell>
          <cell r="BU21">
            <v>5</v>
          </cell>
          <cell r="BV21">
            <v>7</v>
          </cell>
          <cell r="BW21">
            <v>5</v>
          </cell>
          <cell r="BX21">
            <v>7</v>
          </cell>
          <cell r="BY21">
            <v>6</v>
          </cell>
          <cell r="BZ21">
            <v>6</v>
          </cell>
          <cell r="CA21">
            <v>7</v>
          </cell>
          <cell r="CB21">
            <v>6</v>
          </cell>
          <cell r="CC21">
            <v>5</v>
          </cell>
          <cell r="CD21">
            <v>7</v>
          </cell>
          <cell r="CE21">
            <v>5.75</v>
          </cell>
          <cell r="CF21">
            <v>5.75</v>
          </cell>
          <cell r="CG21">
            <v>6.1666666670000003</v>
          </cell>
          <cell r="CH21">
            <v>7</v>
          </cell>
          <cell r="CI21">
            <v>1</v>
          </cell>
          <cell r="CJ21">
            <v>7</v>
          </cell>
          <cell r="CK21">
            <v>2</v>
          </cell>
          <cell r="CL21">
            <v>1</v>
          </cell>
          <cell r="CM21">
            <v>9</v>
          </cell>
          <cell r="CN21">
            <v>1</v>
          </cell>
          <cell r="CO21">
            <v>1</v>
          </cell>
          <cell r="CP21">
            <v>5</v>
          </cell>
          <cell r="CQ21">
            <v>6</v>
          </cell>
          <cell r="CR21">
            <v>2</v>
          </cell>
          <cell r="CS21">
            <v>5</v>
          </cell>
          <cell r="CT21">
            <v>9</v>
          </cell>
          <cell r="CU21">
            <v>1</v>
          </cell>
          <cell r="CV21">
            <v>5</v>
          </cell>
          <cell r="CW21">
            <v>1</v>
          </cell>
          <cell r="CX21">
            <v>7</v>
          </cell>
          <cell r="CY21">
            <v>8</v>
          </cell>
          <cell r="CZ21">
            <v>1</v>
          </cell>
          <cell r="DA21">
            <v>1</v>
          </cell>
          <cell r="DB21">
            <v>1</v>
          </cell>
          <cell r="DC21">
            <v>81</v>
          </cell>
          <cell r="DD21">
            <v>13</v>
          </cell>
          <cell r="DE21">
            <v>26</v>
          </cell>
          <cell r="DF21">
            <v>9</v>
          </cell>
          <cell r="DG21">
            <v>12</v>
          </cell>
          <cell r="DH21">
            <v>3</v>
          </cell>
          <cell r="DI21">
            <v>5</v>
          </cell>
          <cell r="DJ21">
            <v>13</v>
          </cell>
          <cell r="DK21">
            <v>8</v>
          </cell>
          <cell r="DL21">
            <v>16</v>
          </cell>
          <cell r="DM21">
            <v>8</v>
          </cell>
          <cell r="DN21">
            <v>4</v>
          </cell>
          <cell r="DO21">
            <v>30</v>
          </cell>
          <cell r="DP21">
            <v>15</v>
          </cell>
          <cell r="DQ21">
            <v>0</v>
          </cell>
          <cell r="DR21">
            <v>0</v>
          </cell>
          <cell r="DS21">
            <v>2</v>
          </cell>
          <cell r="DT21">
            <v>1</v>
          </cell>
          <cell r="DU21">
            <v>3</v>
          </cell>
          <cell r="DV21">
            <v>0</v>
          </cell>
          <cell r="DW21">
            <v>0</v>
          </cell>
          <cell r="DX21">
            <v>0</v>
          </cell>
          <cell r="DY21">
            <v>0</v>
          </cell>
          <cell r="DZ21">
            <v>3</v>
          </cell>
          <cell r="EA21">
            <v>1</v>
          </cell>
          <cell r="EB21">
            <v>1</v>
          </cell>
          <cell r="EC21">
            <v>3</v>
          </cell>
          <cell r="ED21">
            <v>1</v>
          </cell>
          <cell r="EE21">
            <v>0</v>
          </cell>
          <cell r="EF21">
            <v>3</v>
          </cell>
          <cell r="EG21">
            <v>3</v>
          </cell>
          <cell r="EH21">
            <v>0</v>
          </cell>
          <cell r="EI21">
            <v>2</v>
          </cell>
          <cell r="EJ21">
            <v>1</v>
          </cell>
          <cell r="EK21">
            <v>3</v>
          </cell>
          <cell r="EL21">
            <v>4</v>
          </cell>
          <cell r="EM21">
            <v>20</v>
          </cell>
          <cell r="EN21">
            <v>3</v>
          </cell>
          <cell r="EO21">
            <v>27</v>
          </cell>
          <cell r="EP21">
            <v>3</v>
          </cell>
          <cell r="EQ21">
            <v>2</v>
          </cell>
          <cell r="ER21">
            <v>1</v>
          </cell>
          <cell r="ES21">
            <v>2</v>
          </cell>
          <cell r="ET21">
            <v>1</v>
          </cell>
          <cell r="EU21">
            <v>1</v>
          </cell>
          <cell r="EV21">
            <v>3</v>
          </cell>
          <cell r="EW21">
            <v>5</v>
          </cell>
          <cell r="EX21">
            <v>1</v>
          </cell>
          <cell r="EY21">
            <v>2</v>
          </cell>
          <cell r="EZ21">
            <v>5</v>
          </cell>
          <cell r="FA21">
            <v>2</v>
          </cell>
          <cell r="FB21">
            <v>2</v>
          </cell>
          <cell r="FC21">
            <v>2</v>
          </cell>
          <cell r="FD21">
            <v>2</v>
          </cell>
          <cell r="FE21">
            <v>3</v>
          </cell>
          <cell r="FF21">
            <v>1</v>
          </cell>
          <cell r="FG21">
            <v>38</v>
          </cell>
          <cell r="FH21">
            <v>3</v>
          </cell>
          <cell r="FI21">
            <v>2</v>
          </cell>
          <cell r="FJ21">
            <v>2</v>
          </cell>
          <cell r="FK21">
            <v>2</v>
          </cell>
          <cell r="FL21">
            <v>3</v>
          </cell>
          <cell r="FM21">
            <v>2</v>
          </cell>
          <cell r="FN21">
            <v>2</v>
          </cell>
          <cell r="FO21">
            <v>3</v>
          </cell>
          <cell r="FP21">
            <v>2</v>
          </cell>
          <cell r="FQ21">
            <v>2</v>
          </cell>
          <cell r="FR21">
            <v>3</v>
          </cell>
          <cell r="FS21">
            <v>2</v>
          </cell>
          <cell r="FT21">
            <v>2</v>
          </cell>
          <cell r="FU21">
            <v>3</v>
          </cell>
          <cell r="FV21">
            <v>2</v>
          </cell>
          <cell r="FW21">
            <v>3</v>
          </cell>
          <cell r="FX21">
            <v>2</v>
          </cell>
          <cell r="FY21">
            <v>2</v>
          </cell>
          <cell r="FZ21">
            <v>3</v>
          </cell>
          <cell r="GA21">
            <v>2</v>
          </cell>
          <cell r="GB21">
            <v>2</v>
          </cell>
          <cell r="GC21">
            <v>29</v>
          </cell>
        </row>
        <row r="22">
          <cell r="A22">
            <v>864</v>
          </cell>
          <cell r="B22">
            <v>0</v>
          </cell>
          <cell r="C22">
            <v>24</v>
          </cell>
          <cell r="D22">
            <v>0</v>
          </cell>
          <cell r="E22" t="str">
            <v xml:space="preserve"> </v>
          </cell>
          <cell r="F22">
            <v>5</v>
          </cell>
          <cell r="G22">
            <v>0</v>
          </cell>
          <cell r="H22" t="str">
            <v xml:space="preserve"> </v>
          </cell>
          <cell r="I22">
            <v>3</v>
          </cell>
          <cell r="J22" t="str">
            <v xml:space="preserve"> </v>
          </cell>
          <cell r="K22">
            <v>2</v>
          </cell>
          <cell r="L22">
            <v>5</v>
          </cell>
          <cell r="M22" t="str">
            <v xml:space="preserve"> </v>
          </cell>
          <cell r="N22" t="str">
            <v>5'10</v>
          </cell>
          <cell r="O22">
            <v>185</v>
          </cell>
          <cell r="P22" t="str">
            <v>Drospirenone and ethinyl estradiol tablets (birth control pills): 3mg/0/03mg- taking since 2015</v>
          </cell>
          <cell r="Q22">
            <v>44692</v>
          </cell>
          <cell r="R22">
            <v>0</v>
          </cell>
          <cell r="S22" t="str">
            <v xml:space="preserve"> </v>
          </cell>
          <cell r="T22">
            <v>0</v>
          </cell>
          <cell r="U22" t="str">
            <v xml:space="preserve"> </v>
          </cell>
          <cell r="V22" t="str">
            <v xml:space="preserve"> </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t="str">
            <v xml:space="preserve"> </v>
          </cell>
          <cell r="AR22">
            <v>0</v>
          </cell>
          <cell r="AS22">
            <v>0</v>
          </cell>
          <cell r="AT22">
            <v>0</v>
          </cell>
          <cell r="AU22">
            <v>0</v>
          </cell>
          <cell r="AV22">
            <v>0</v>
          </cell>
          <cell r="AW22">
            <v>0</v>
          </cell>
          <cell r="AX22">
            <v>0</v>
          </cell>
          <cell r="AY22">
            <v>2</v>
          </cell>
          <cell r="AZ22">
            <v>0</v>
          </cell>
          <cell r="BA22">
            <v>2</v>
          </cell>
          <cell r="BB22">
            <v>1</v>
          </cell>
          <cell r="BC22">
            <v>0</v>
          </cell>
          <cell r="BD22">
            <v>2</v>
          </cell>
          <cell r="BE22">
            <v>1</v>
          </cell>
          <cell r="BF22">
            <v>30</v>
          </cell>
          <cell r="BG22">
            <v>7</v>
          </cell>
          <cell r="BH22">
            <v>0</v>
          </cell>
          <cell r="BI22">
            <v>30</v>
          </cell>
          <cell r="BJ22">
            <v>4</v>
          </cell>
          <cell r="BK22">
            <v>0</v>
          </cell>
          <cell r="BL22">
            <v>240</v>
          </cell>
          <cell r="BM22">
            <v>693</v>
          </cell>
          <cell r="BN22">
            <v>720</v>
          </cell>
          <cell r="BO22">
            <v>960</v>
          </cell>
          <cell r="BP22">
            <v>2373</v>
          </cell>
          <cell r="BQ22">
            <v>2</v>
          </cell>
          <cell r="BR22">
            <v>6</v>
          </cell>
          <cell r="BS22">
            <v>7</v>
          </cell>
          <cell r="BT22">
            <v>7</v>
          </cell>
          <cell r="BU22">
            <v>7</v>
          </cell>
          <cell r="BV22">
            <v>7</v>
          </cell>
          <cell r="BW22">
            <v>6</v>
          </cell>
          <cell r="BX22">
            <v>7</v>
          </cell>
          <cell r="BY22">
            <v>7</v>
          </cell>
          <cell r="BZ22">
            <v>7</v>
          </cell>
          <cell r="CA22">
            <v>7</v>
          </cell>
          <cell r="CB22">
            <v>7</v>
          </cell>
          <cell r="CC22">
            <v>6.5</v>
          </cell>
          <cell r="CD22">
            <v>7</v>
          </cell>
          <cell r="CE22">
            <v>6.75</v>
          </cell>
          <cell r="CF22">
            <v>6.75</v>
          </cell>
          <cell r="CG22">
            <v>5</v>
          </cell>
          <cell r="CH22">
            <v>9</v>
          </cell>
          <cell r="CI22">
            <v>7</v>
          </cell>
          <cell r="CJ22">
            <v>7</v>
          </cell>
          <cell r="CK22">
            <v>9</v>
          </cell>
          <cell r="CL22">
            <v>8</v>
          </cell>
          <cell r="CM22">
            <v>8</v>
          </cell>
          <cell r="CN22">
            <v>8</v>
          </cell>
          <cell r="CO22">
            <v>8</v>
          </cell>
          <cell r="CP22">
            <v>8</v>
          </cell>
          <cell r="CQ22">
            <v>8</v>
          </cell>
          <cell r="CR22">
            <v>9</v>
          </cell>
          <cell r="CS22">
            <v>8</v>
          </cell>
          <cell r="CT22">
            <v>8</v>
          </cell>
          <cell r="CU22">
            <v>9</v>
          </cell>
          <cell r="CV22">
            <v>6</v>
          </cell>
          <cell r="CW22">
            <v>9</v>
          </cell>
          <cell r="CX22">
            <v>7</v>
          </cell>
          <cell r="CY22">
            <v>8</v>
          </cell>
          <cell r="CZ22">
            <v>9</v>
          </cell>
          <cell r="DA22">
            <v>7</v>
          </cell>
          <cell r="DB22">
            <v>1</v>
          </cell>
          <cell r="DC22">
            <v>161</v>
          </cell>
          <cell r="DD22">
            <v>26</v>
          </cell>
          <cell r="DE22">
            <v>24</v>
          </cell>
          <cell r="DF22">
            <v>16</v>
          </cell>
          <cell r="DG22">
            <v>22</v>
          </cell>
          <cell r="DH22">
            <v>22</v>
          </cell>
          <cell r="DI22">
            <v>27</v>
          </cell>
          <cell r="DJ22">
            <v>24</v>
          </cell>
          <cell r="DK22">
            <v>26</v>
          </cell>
          <cell r="DL22">
            <v>33</v>
          </cell>
          <cell r="DM22">
            <v>21</v>
          </cell>
          <cell r="DN22">
            <v>26</v>
          </cell>
          <cell r="DO22">
            <v>31</v>
          </cell>
          <cell r="DP22">
            <v>24</v>
          </cell>
          <cell r="DQ22">
            <v>0</v>
          </cell>
          <cell r="DR22">
            <v>0</v>
          </cell>
          <cell r="DS22">
            <v>0</v>
          </cell>
          <cell r="DT22">
            <v>0</v>
          </cell>
          <cell r="DU22">
            <v>0</v>
          </cell>
          <cell r="DV22">
            <v>0</v>
          </cell>
          <cell r="DW22">
            <v>0</v>
          </cell>
          <cell r="DX22">
            <v>0</v>
          </cell>
          <cell r="DY22">
            <v>0</v>
          </cell>
          <cell r="DZ22">
            <v>0</v>
          </cell>
          <cell r="EA22">
            <v>0</v>
          </cell>
          <cell r="EB22">
            <v>0</v>
          </cell>
          <cell r="EC22">
            <v>0</v>
          </cell>
          <cell r="ED22">
            <v>0</v>
          </cell>
          <cell r="EE22">
            <v>0</v>
          </cell>
          <cell r="EF22">
            <v>0</v>
          </cell>
          <cell r="EG22">
            <v>0</v>
          </cell>
          <cell r="EH22">
            <v>0</v>
          </cell>
          <cell r="EI22">
            <v>0</v>
          </cell>
          <cell r="EJ22">
            <v>0</v>
          </cell>
          <cell r="EK22">
            <v>5</v>
          </cell>
          <cell r="EL22">
            <v>0</v>
          </cell>
          <cell r="EM22">
            <v>5</v>
          </cell>
          <cell r="EN22">
            <v>0</v>
          </cell>
          <cell r="EO22">
            <v>5</v>
          </cell>
          <cell r="EP22">
            <v>5</v>
          </cell>
          <cell r="EQ22">
            <v>3</v>
          </cell>
          <cell r="ER22">
            <v>5</v>
          </cell>
          <cell r="ES22">
            <v>5</v>
          </cell>
          <cell r="ET22">
            <v>5</v>
          </cell>
          <cell r="EU22">
            <v>5</v>
          </cell>
          <cell r="EV22">
            <v>5</v>
          </cell>
          <cell r="EW22">
            <v>5</v>
          </cell>
          <cell r="EX22">
            <v>5</v>
          </cell>
          <cell r="EY22">
            <v>5</v>
          </cell>
          <cell r="EZ22">
            <v>3</v>
          </cell>
          <cell r="FA22">
            <v>5</v>
          </cell>
          <cell r="FB22">
            <v>4</v>
          </cell>
          <cell r="FC22">
            <v>2</v>
          </cell>
          <cell r="FD22">
            <v>5</v>
          </cell>
          <cell r="FE22">
            <v>5</v>
          </cell>
          <cell r="FF22">
            <v>4</v>
          </cell>
          <cell r="FG22">
            <v>76</v>
          </cell>
          <cell r="FH22">
            <v>4</v>
          </cell>
          <cell r="FI22">
            <v>1</v>
          </cell>
          <cell r="FJ22">
            <v>1</v>
          </cell>
          <cell r="FK22">
            <v>4</v>
          </cell>
          <cell r="FL22">
            <v>1</v>
          </cell>
          <cell r="FM22">
            <v>1</v>
          </cell>
          <cell r="FN22">
            <v>1</v>
          </cell>
          <cell r="FO22">
            <v>3</v>
          </cell>
          <cell r="FP22">
            <v>2</v>
          </cell>
          <cell r="FQ22">
            <v>1</v>
          </cell>
          <cell r="FR22">
            <v>3</v>
          </cell>
          <cell r="FS22">
            <v>2</v>
          </cell>
          <cell r="FT22">
            <v>1</v>
          </cell>
          <cell r="FU22">
            <v>4</v>
          </cell>
          <cell r="FV22">
            <v>1</v>
          </cell>
          <cell r="FW22">
            <v>4</v>
          </cell>
          <cell r="FX22">
            <v>1</v>
          </cell>
          <cell r="FY22">
            <v>1</v>
          </cell>
          <cell r="FZ22">
            <v>4</v>
          </cell>
          <cell r="GA22">
            <v>1</v>
          </cell>
          <cell r="GB22">
            <v>2</v>
          </cell>
          <cell r="GC22">
            <v>17</v>
          </cell>
        </row>
        <row r="23">
          <cell r="A23">
            <v>867</v>
          </cell>
          <cell r="B23">
            <v>0</v>
          </cell>
          <cell r="C23">
            <v>25</v>
          </cell>
          <cell r="D23">
            <v>0</v>
          </cell>
          <cell r="E23" t="str">
            <v xml:space="preserve"> </v>
          </cell>
          <cell r="F23">
            <v>5</v>
          </cell>
          <cell r="G23">
            <v>0</v>
          </cell>
          <cell r="H23" t="str">
            <v xml:space="preserve"> </v>
          </cell>
          <cell r="I23">
            <v>3</v>
          </cell>
          <cell r="J23" t="str">
            <v xml:space="preserve"> </v>
          </cell>
          <cell r="K23">
            <v>2</v>
          </cell>
          <cell r="L23">
            <v>5</v>
          </cell>
          <cell r="M23" t="str">
            <v xml:space="preserve"> </v>
          </cell>
          <cell r="N23" t="str">
            <v>5' 4</v>
          </cell>
          <cell r="O23">
            <v>125</v>
          </cell>
          <cell r="P23" t="str">
            <v>Ferrous Sulfate 325mg every other day  Mirena IUD</v>
          </cell>
          <cell r="Q23">
            <v>44648</v>
          </cell>
          <cell r="R23">
            <v>0</v>
          </cell>
          <cell r="S23" t="str">
            <v xml:space="preserve"> </v>
          </cell>
          <cell r="T23">
            <v>0</v>
          </cell>
          <cell r="U23" t="str">
            <v xml:space="preserve"> </v>
          </cell>
          <cell r="V23" t="str">
            <v xml:space="preserve"> </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t="str">
            <v xml:space="preserve"> </v>
          </cell>
          <cell r="AR23">
            <v>0</v>
          </cell>
          <cell r="AS23">
            <v>0</v>
          </cell>
          <cell r="AT23">
            <v>0</v>
          </cell>
          <cell r="AU23">
            <v>0</v>
          </cell>
          <cell r="AV23">
            <v>0</v>
          </cell>
          <cell r="AW23">
            <v>0</v>
          </cell>
          <cell r="AX23">
            <v>1</v>
          </cell>
          <cell r="AY23">
            <v>0</v>
          </cell>
          <cell r="AZ23">
            <v>0</v>
          </cell>
          <cell r="BA23">
            <v>3</v>
          </cell>
          <cell r="BB23">
            <v>0</v>
          </cell>
          <cell r="BC23">
            <v>40</v>
          </cell>
          <cell r="BD23">
            <v>0</v>
          </cell>
          <cell r="BE23" t="str">
            <v xml:space="preserve"> </v>
          </cell>
          <cell r="BF23" t="str">
            <v xml:space="preserve"> </v>
          </cell>
          <cell r="BG23">
            <v>7</v>
          </cell>
          <cell r="BH23">
            <v>0</v>
          </cell>
          <cell r="BI23">
            <v>30</v>
          </cell>
          <cell r="BJ23">
            <v>7</v>
          </cell>
          <cell r="BK23">
            <v>0</v>
          </cell>
          <cell r="BL23">
            <v>420</v>
          </cell>
          <cell r="BM23">
            <v>693</v>
          </cell>
          <cell r="BN23">
            <v>0</v>
          </cell>
          <cell r="BO23">
            <v>960</v>
          </cell>
          <cell r="BP23">
            <v>1653</v>
          </cell>
          <cell r="BQ23">
            <v>2</v>
          </cell>
          <cell r="BR23">
            <v>7</v>
          </cell>
          <cell r="BS23">
            <v>7</v>
          </cell>
          <cell r="BT23">
            <v>6</v>
          </cell>
          <cell r="BU23">
            <v>5</v>
          </cell>
          <cell r="BV23">
            <v>7</v>
          </cell>
          <cell r="BW23">
            <v>6</v>
          </cell>
          <cell r="BX23">
            <v>6</v>
          </cell>
          <cell r="BY23">
            <v>5</v>
          </cell>
          <cell r="BZ23">
            <v>6</v>
          </cell>
          <cell r="CA23">
            <v>7</v>
          </cell>
          <cell r="CB23">
            <v>6</v>
          </cell>
          <cell r="CC23">
            <v>6</v>
          </cell>
          <cell r="CD23">
            <v>7</v>
          </cell>
          <cell r="CE23">
            <v>5.5</v>
          </cell>
          <cell r="CF23">
            <v>6</v>
          </cell>
          <cell r="CG23">
            <v>6.1666666670000003</v>
          </cell>
          <cell r="CH23">
            <v>7</v>
          </cell>
          <cell r="CI23">
            <v>8</v>
          </cell>
          <cell r="CJ23">
            <v>9</v>
          </cell>
          <cell r="CK23">
            <v>8</v>
          </cell>
          <cell r="CL23">
            <v>8</v>
          </cell>
          <cell r="CM23">
            <v>9</v>
          </cell>
          <cell r="CN23">
            <v>9</v>
          </cell>
          <cell r="CO23">
            <v>8</v>
          </cell>
          <cell r="CP23">
            <v>9</v>
          </cell>
          <cell r="CQ23">
            <v>9</v>
          </cell>
          <cell r="CR23">
            <v>7</v>
          </cell>
          <cell r="CS23">
            <v>9</v>
          </cell>
          <cell r="CT23">
            <v>9</v>
          </cell>
          <cell r="CU23">
            <v>8</v>
          </cell>
          <cell r="CV23">
            <v>9</v>
          </cell>
          <cell r="CW23">
            <v>9</v>
          </cell>
          <cell r="CX23">
            <v>9</v>
          </cell>
          <cell r="CY23">
            <v>9</v>
          </cell>
          <cell r="CZ23">
            <v>7</v>
          </cell>
          <cell r="DA23">
            <v>8</v>
          </cell>
          <cell r="DB23">
            <v>7</v>
          </cell>
          <cell r="DC23">
            <v>175</v>
          </cell>
          <cell r="DD23">
            <v>25</v>
          </cell>
          <cell r="DE23">
            <v>27</v>
          </cell>
          <cell r="DF23">
            <v>25</v>
          </cell>
          <cell r="DG23">
            <v>26</v>
          </cell>
          <cell r="DH23">
            <v>24</v>
          </cell>
          <cell r="DI23">
            <v>23</v>
          </cell>
          <cell r="DJ23">
            <v>25</v>
          </cell>
          <cell r="DK23">
            <v>25</v>
          </cell>
          <cell r="DL23">
            <v>34</v>
          </cell>
          <cell r="DM23">
            <v>32</v>
          </cell>
          <cell r="DN23">
            <v>24</v>
          </cell>
          <cell r="DO23">
            <v>34</v>
          </cell>
          <cell r="DP23">
            <v>26</v>
          </cell>
          <cell r="DQ23">
            <v>0</v>
          </cell>
          <cell r="DR23">
            <v>0</v>
          </cell>
          <cell r="DS23">
            <v>0</v>
          </cell>
          <cell r="DT23">
            <v>0</v>
          </cell>
          <cell r="DU23">
            <v>0</v>
          </cell>
          <cell r="DV23">
            <v>0</v>
          </cell>
          <cell r="DW23">
            <v>0</v>
          </cell>
          <cell r="DX23">
            <v>0</v>
          </cell>
          <cell r="DY23">
            <v>0</v>
          </cell>
          <cell r="DZ23">
            <v>0</v>
          </cell>
          <cell r="EA23">
            <v>1</v>
          </cell>
          <cell r="EB23">
            <v>0</v>
          </cell>
          <cell r="EC23">
            <v>0</v>
          </cell>
          <cell r="ED23">
            <v>0</v>
          </cell>
          <cell r="EE23">
            <v>0</v>
          </cell>
          <cell r="EF23">
            <v>0</v>
          </cell>
          <cell r="EG23">
            <v>0</v>
          </cell>
          <cell r="EH23">
            <v>0</v>
          </cell>
          <cell r="EI23">
            <v>0</v>
          </cell>
          <cell r="EJ23">
            <v>0</v>
          </cell>
          <cell r="EK23">
            <v>0</v>
          </cell>
          <cell r="EL23">
            <v>0</v>
          </cell>
          <cell r="EM23">
            <v>0</v>
          </cell>
          <cell r="EN23">
            <v>1</v>
          </cell>
          <cell r="EO23">
            <v>1</v>
          </cell>
          <cell r="EP23">
            <v>5</v>
          </cell>
          <cell r="EQ23">
            <v>5</v>
          </cell>
          <cell r="ER23">
            <v>5</v>
          </cell>
          <cell r="ES23">
            <v>5</v>
          </cell>
          <cell r="ET23">
            <v>5</v>
          </cell>
          <cell r="EU23">
            <v>5</v>
          </cell>
          <cell r="EV23">
            <v>5</v>
          </cell>
          <cell r="EW23">
            <v>5</v>
          </cell>
          <cell r="EX23">
            <v>1</v>
          </cell>
          <cell r="EY23">
            <v>5</v>
          </cell>
          <cell r="EZ23">
            <v>5</v>
          </cell>
          <cell r="FA23">
            <v>5</v>
          </cell>
          <cell r="FB23">
            <v>5</v>
          </cell>
          <cell r="FC23">
            <v>4</v>
          </cell>
          <cell r="FD23">
            <v>2</v>
          </cell>
          <cell r="FE23">
            <v>5</v>
          </cell>
          <cell r="FF23">
            <v>5</v>
          </cell>
          <cell r="FG23">
            <v>77</v>
          </cell>
          <cell r="FH23">
            <v>4</v>
          </cell>
          <cell r="FI23">
            <v>1</v>
          </cell>
          <cell r="FJ23">
            <v>1</v>
          </cell>
          <cell r="FK23">
            <v>4</v>
          </cell>
          <cell r="FL23">
            <v>1</v>
          </cell>
          <cell r="FM23">
            <v>1</v>
          </cell>
          <cell r="FN23">
            <v>1</v>
          </cell>
          <cell r="FO23">
            <v>4</v>
          </cell>
          <cell r="FP23">
            <v>1</v>
          </cell>
          <cell r="FQ23">
            <v>1</v>
          </cell>
          <cell r="FR23">
            <v>4</v>
          </cell>
          <cell r="FS23">
            <v>1</v>
          </cell>
          <cell r="FT23">
            <v>2</v>
          </cell>
          <cell r="FU23">
            <v>4</v>
          </cell>
          <cell r="FV23">
            <v>1</v>
          </cell>
          <cell r="FW23">
            <v>4</v>
          </cell>
          <cell r="FX23">
            <v>1</v>
          </cell>
          <cell r="FY23">
            <v>1</v>
          </cell>
          <cell r="FZ23">
            <v>4</v>
          </cell>
          <cell r="GA23">
            <v>1</v>
          </cell>
          <cell r="GB23">
            <v>1</v>
          </cell>
          <cell r="GC23">
            <v>15</v>
          </cell>
        </row>
        <row r="24">
          <cell r="A24">
            <v>868</v>
          </cell>
          <cell r="B24">
            <v>0</v>
          </cell>
          <cell r="C24">
            <v>61</v>
          </cell>
          <cell r="D24">
            <v>0</v>
          </cell>
          <cell r="E24" t="str">
            <v xml:space="preserve"> </v>
          </cell>
          <cell r="F24">
            <v>1</v>
          </cell>
          <cell r="G24">
            <v>1</v>
          </cell>
          <cell r="H24">
            <v>2</v>
          </cell>
          <cell r="I24">
            <v>2</v>
          </cell>
          <cell r="J24" t="str">
            <v>Nurse</v>
          </cell>
          <cell r="K24">
            <v>2</v>
          </cell>
          <cell r="L24">
            <v>5</v>
          </cell>
          <cell r="M24" t="str">
            <v xml:space="preserve"> </v>
          </cell>
          <cell r="N24" t="str">
            <v>5' 3</v>
          </cell>
          <cell r="O24">
            <v>125</v>
          </cell>
          <cell r="P24" t="str">
            <v xml:space="preserve"> </v>
          </cell>
          <cell r="Q24" t="str">
            <v xml:space="preserve"> </v>
          </cell>
          <cell r="R24" t="str">
            <v xml:space="preserve"> </v>
          </cell>
          <cell r="S24">
            <v>0</v>
          </cell>
          <cell r="T24">
            <v>0</v>
          </cell>
          <cell r="U24" t="str">
            <v xml:space="preserve"> </v>
          </cell>
          <cell r="V24" t="str">
            <v xml:space="preserve"> </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t="str">
            <v xml:space="preserve"> </v>
          </cell>
          <cell r="AR24">
            <v>0</v>
          </cell>
          <cell r="AS24">
            <v>0</v>
          </cell>
          <cell r="AT24">
            <v>0</v>
          </cell>
          <cell r="AU24">
            <v>0</v>
          </cell>
          <cell r="AV24">
            <v>0</v>
          </cell>
          <cell r="AW24">
            <v>0</v>
          </cell>
          <cell r="AX24">
            <v>1</v>
          </cell>
          <cell r="AY24">
            <v>0</v>
          </cell>
          <cell r="AZ24">
            <v>0</v>
          </cell>
          <cell r="BA24">
            <v>5</v>
          </cell>
          <cell r="BB24">
            <v>0</v>
          </cell>
          <cell r="BC24">
            <v>45</v>
          </cell>
          <cell r="BD24">
            <v>5</v>
          </cell>
          <cell r="BE24">
            <v>1</v>
          </cell>
          <cell r="BF24">
            <v>0</v>
          </cell>
          <cell r="BG24">
            <v>7</v>
          </cell>
          <cell r="BH24">
            <v>1</v>
          </cell>
          <cell r="BI24">
            <v>0</v>
          </cell>
          <cell r="BJ24">
            <v>4</v>
          </cell>
          <cell r="BK24">
            <v>15</v>
          </cell>
          <cell r="BL24">
            <v>255</v>
          </cell>
          <cell r="BM24">
            <v>1386</v>
          </cell>
          <cell r="BN24">
            <v>1200</v>
          </cell>
          <cell r="BO24">
            <v>1800</v>
          </cell>
          <cell r="BP24">
            <v>4386</v>
          </cell>
          <cell r="BQ24">
            <v>3</v>
          </cell>
          <cell r="BR24">
            <v>6</v>
          </cell>
          <cell r="BS24">
            <v>7</v>
          </cell>
          <cell r="BT24">
            <v>6</v>
          </cell>
          <cell r="BU24">
            <v>6</v>
          </cell>
          <cell r="BV24">
            <v>7</v>
          </cell>
          <cell r="BW24">
            <v>6</v>
          </cell>
          <cell r="BX24">
            <v>6</v>
          </cell>
          <cell r="BY24">
            <v>5</v>
          </cell>
          <cell r="BZ24">
            <v>6</v>
          </cell>
          <cell r="CA24">
            <v>7</v>
          </cell>
          <cell r="CB24">
            <v>6</v>
          </cell>
          <cell r="CC24">
            <v>5</v>
          </cell>
          <cell r="CD24">
            <v>6.75</v>
          </cell>
          <cell r="CE24">
            <v>5.75</v>
          </cell>
          <cell r="CF24">
            <v>5.75</v>
          </cell>
          <cell r="CG24">
            <v>6.0833333329999997</v>
          </cell>
          <cell r="CH24">
            <v>8</v>
          </cell>
          <cell r="CI24">
            <v>9</v>
          </cell>
          <cell r="CJ24">
            <v>9</v>
          </cell>
          <cell r="CK24">
            <v>8</v>
          </cell>
          <cell r="CL24">
            <v>9</v>
          </cell>
          <cell r="CM24">
            <v>9</v>
          </cell>
          <cell r="CN24">
            <v>9</v>
          </cell>
          <cell r="CO24">
            <v>7</v>
          </cell>
          <cell r="CP24">
            <v>8</v>
          </cell>
          <cell r="CQ24">
            <v>7</v>
          </cell>
          <cell r="CR24">
            <v>9</v>
          </cell>
          <cell r="CS24">
            <v>9</v>
          </cell>
          <cell r="CT24">
            <v>9</v>
          </cell>
          <cell r="CU24">
            <v>9</v>
          </cell>
          <cell r="CV24">
            <v>8</v>
          </cell>
          <cell r="CW24">
            <v>7</v>
          </cell>
          <cell r="CX24">
            <v>9</v>
          </cell>
          <cell r="CY24">
            <v>9</v>
          </cell>
          <cell r="CZ24">
            <v>9</v>
          </cell>
          <cell r="DA24">
            <v>9</v>
          </cell>
          <cell r="DB24">
            <v>7</v>
          </cell>
          <cell r="DC24">
            <v>177</v>
          </cell>
          <cell r="DD24">
            <v>23</v>
          </cell>
          <cell r="DE24">
            <v>27</v>
          </cell>
          <cell r="DF24">
            <v>25</v>
          </cell>
          <cell r="DG24">
            <v>22</v>
          </cell>
          <cell r="DH24">
            <v>27</v>
          </cell>
          <cell r="DI24">
            <v>26</v>
          </cell>
          <cell r="DJ24">
            <v>27</v>
          </cell>
          <cell r="DK24">
            <v>26</v>
          </cell>
          <cell r="DL24">
            <v>35</v>
          </cell>
          <cell r="DM24">
            <v>33</v>
          </cell>
          <cell r="DN24">
            <v>23</v>
          </cell>
          <cell r="DO24">
            <v>35</v>
          </cell>
          <cell r="DP24">
            <v>25</v>
          </cell>
          <cell r="DQ24">
            <v>1</v>
          </cell>
          <cell r="DR24">
            <v>2</v>
          </cell>
          <cell r="DS24">
            <v>0</v>
          </cell>
          <cell r="DT24">
            <v>0</v>
          </cell>
          <cell r="DU24">
            <v>1</v>
          </cell>
          <cell r="DV24">
            <v>0</v>
          </cell>
          <cell r="DW24">
            <v>0</v>
          </cell>
          <cell r="DX24">
            <v>1</v>
          </cell>
          <cell r="DY24">
            <v>0</v>
          </cell>
          <cell r="DZ24">
            <v>0</v>
          </cell>
          <cell r="EA24">
            <v>0</v>
          </cell>
          <cell r="EB24">
            <v>1</v>
          </cell>
          <cell r="EC24">
            <v>0</v>
          </cell>
          <cell r="ED24">
            <v>0</v>
          </cell>
          <cell r="EE24">
            <v>0</v>
          </cell>
          <cell r="EF24">
            <v>0</v>
          </cell>
          <cell r="EG24">
            <v>0</v>
          </cell>
          <cell r="EH24">
            <v>0</v>
          </cell>
          <cell r="EI24">
            <v>0</v>
          </cell>
          <cell r="EJ24">
            <v>0</v>
          </cell>
          <cell r="EK24">
            <v>0</v>
          </cell>
          <cell r="EL24">
            <v>2</v>
          </cell>
          <cell r="EM24">
            <v>1</v>
          </cell>
          <cell r="EN24">
            <v>3</v>
          </cell>
          <cell r="EO24">
            <v>6</v>
          </cell>
          <cell r="EP24">
            <v>1</v>
          </cell>
          <cell r="EQ24">
            <v>5</v>
          </cell>
          <cell r="ER24">
            <v>1</v>
          </cell>
          <cell r="ES24">
            <v>2</v>
          </cell>
          <cell r="ET24">
            <v>3</v>
          </cell>
          <cell r="EU24">
            <v>3</v>
          </cell>
          <cell r="EV24">
            <v>3</v>
          </cell>
          <cell r="EW24">
            <v>3</v>
          </cell>
          <cell r="EX24">
            <v>3</v>
          </cell>
          <cell r="EY24">
            <v>3</v>
          </cell>
          <cell r="EZ24">
            <v>3</v>
          </cell>
          <cell r="FA24">
            <v>2</v>
          </cell>
          <cell r="FB24">
            <v>2</v>
          </cell>
          <cell r="FC24">
            <v>2</v>
          </cell>
          <cell r="FD24">
            <v>4</v>
          </cell>
          <cell r="FE24">
            <v>2</v>
          </cell>
          <cell r="FF24">
            <v>1</v>
          </cell>
          <cell r="FG24">
            <v>43</v>
          </cell>
          <cell r="FH24">
            <v>4</v>
          </cell>
          <cell r="FI24">
            <v>1</v>
          </cell>
          <cell r="FJ24">
            <v>1</v>
          </cell>
          <cell r="FK24">
            <v>4</v>
          </cell>
          <cell r="FL24">
            <v>1</v>
          </cell>
          <cell r="FM24">
            <v>1</v>
          </cell>
          <cell r="FN24">
            <v>1</v>
          </cell>
          <cell r="FO24">
            <v>4</v>
          </cell>
          <cell r="FP24">
            <v>1</v>
          </cell>
          <cell r="FQ24">
            <v>1</v>
          </cell>
          <cell r="FR24">
            <v>3</v>
          </cell>
          <cell r="FS24">
            <v>2</v>
          </cell>
          <cell r="FT24">
            <v>1</v>
          </cell>
          <cell r="FU24">
            <v>4</v>
          </cell>
          <cell r="FV24">
            <v>1</v>
          </cell>
          <cell r="FW24">
            <v>4</v>
          </cell>
          <cell r="FX24">
            <v>1</v>
          </cell>
          <cell r="FY24">
            <v>1</v>
          </cell>
          <cell r="FZ24">
            <v>4</v>
          </cell>
          <cell r="GA24">
            <v>1</v>
          </cell>
          <cell r="GB24">
            <v>2</v>
          </cell>
          <cell r="GC24">
            <v>16</v>
          </cell>
        </row>
        <row r="25">
          <cell r="A25">
            <v>872</v>
          </cell>
          <cell r="B25">
            <v>1</v>
          </cell>
          <cell r="C25">
            <v>21</v>
          </cell>
          <cell r="D25">
            <v>0</v>
          </cell>
          <cell r="E25" t="str">
            <v xml:space="preserve"> </v>
          </cell>
          <cell r="F25">
            <v>5</v>
          </cell>
          <cell r="G25">
            <v>0</v>
          </cell>
          <cell r="H25" t="str">
            <v xml:space="preserve"> </v>
          </cell>
          <cell r="I25">
            <v>5</v>
          </cell>
          <cell r="J25" t="str">
            <v>Human Research Coordinator/Gradu</v>
          </cell>
          <cell r="K25">
            <v>2</v>
          </cell>
          <cell r="L25">
            <v>5</v>
          </cell>
          <cell r="M25" t="str">
            <v xml:space="preserve"> </v>
          </cell>
          <cell r="N25" t="str">
            <v>5'4"</v>
          </cell>
          <cell r="O25">
            <v>263</v>
          </cell>
          <cell r="P25" t="str">
            <v>Pantoprazole 20mg (morning: 7-9am)  Trazadone 50mg (bedtime:10pm-12am)  Pristiq 50mg (morning: 7-9am</v>
          </cell>
          <cell r="Q25">
            <v>44638</v>
          </cell>
          <cell r="R25">
            <v>1</v>
          </cell>
          <cell r="S25">
            <v>3</v>
          </cell>
          <cell r="T25">
            <v>0</v>
          </cell>
          <cell r="U25" t="str">
            <v xml:space="preserve"> </v>
          </cell>
          <cell r="V25" t="str">
            <v xml:space="preserve"> </v>
          </cell>
          <cell r="W25">
            <v>0</v>
          </cell>
          <cell r="X25">
            <v>0</v>
          </cell>
          <cell r="Y25">
            <v>0</v>
          </cell>
          <cell r="Z25">
            <v>0</v>
          </cell>
          <cell r="AA25">
            <v>0</v>
          </cell>
          <cell r="AB25">
            <v>0</v>
          </cell>
          <cell r="AC25">
            <v>0</v>
          </cell>
          <cell r="AD25">
            <v>1</v>
          </cell>
          <cell r="AE25">
            <v>1</v>
          </cell>
          <cell r="AF25">
            <v>0</v>
          </cell>
          <cell r="AG25">
            <v>0</v>
          </cell>
          <cell r="AH25">
            <v>0</v>
          </cell>
          <cell r="AI25">
            <v>0</v>
          </cell>
          <cell r="AJ25">
            <v>0</v>
          </cell>
          <cell r="AK25">
            <v>0</v>
          </cell>
          <cell r="AL25">
            <v>0</v>
          </cell>
          <cell r="AM25">
            <v>0</v>
          </cell>
          <cell r="AN25">
            <v>0</v>
          </cell>
          <cell r="AO25">
            <v>0</v>
          </cell>
          <cell r="AP25">
            <v>0</v>
          </cell>
          <cell r="AQ25" t="str">
            <v xml:space="preserve"> </v>
          </cell>
          <cell r="AR25">
            <v>0</v>
          </cell>
          <cell r="AS25">
            <v>0</v>
          </cell>
          <cell r="AT25">
            <v>1</v>
          </cell>
          <cell r="AU25">
            <v>0</v>
          </cell>
          <cell r="AV25">
            <v>0</v>
          </cell>
          <cell r="AW25">
            <v>0</v>
          </cell>
          <cell r="AX25">
            <v>0</v>
          </cell>
          <cell r="AY25">
            <v>0</v>
          </cell>
          <cell r="AZ25">
            <v>23</v>
          </cell>
          <cell r="BA25">
            <v>0</v>
          </cell>
          <cell r="BB25" t="str">
            <v xml:space="preserve"> </v>
          </cell>
          <cell r="BC25" t="str">
            <v xml:space="preserve"> </v>
          </cell>
          <cell r="BD25">
            <v>0</v>
          </cell>
          <cell r="BE25" t="str">
            <v xml:space="preserve"> </v>
          </cell>
          <cell r="BF25" t="str">
            <v xml:space="preserve"> </v>
          </cell>
          <cell r="BG25">
            <v>5</v>
          </cell>
          <cell r="BH25">
            <v>0</v>
          </cell>
          <cell r="BI25">
            <v>40</v>
          </cell>
          <cell r="BJ25">
            <v>10</v>
          </cell>
          <cell r="BK25">
            <v>0</v>
          </cell>
          <cell r="BL25">
            <v>600</v>
          </cell>
          <cell r="BM25">
            <v>660</v>
          </cell>
          <cell r="BN25">
            <v>0</v>
          </cell>
          <cell r="BO25">
            <v>0</v>
          </cell>
          <cell r="BP25">
            <v>660</v>
          </cell>
          <cell r="BQ25">
            <v>2</v>
          </cell>
          <cell r="BR25">
            <v>7</v>
          </cell>
          <cell r="BS25">
            <v>7</v>
          </cell>
          <cell r="BT25">
            <v>5</v>
          </cell>
          <cell r="BU25">
            <v>5</v>
          </cell>
          <cell r="BV25">
            <v>7</v>
          </cell>
          <cell r="BW25">
            <v>5</v>
          </cell>
          <cell r="BX25">
            <v>5</v>
          </cell>
          <cell r="BY25">
            <v>4</v>
          </cell>
          <cell r="BZ25">
            <v>6</v>
          </cell>
          <cell r="CA25">
            <v>7</v>
          </cell>
          <cell r="CB25">
            <v>6</v>
          </cell>
          <cell r="CC25">
            <v>6</v>
          </cell>
          <cell r="CD25">
            <v>7</v>
          </cell>
          <cell r="CE25">
            <v>5</v>
          </cell>
          <cell r="CF25">
            <v>5.5</v>
          </cell>
          <cell r="CG25">
            <v>5.8333333329999997</v>
          </cell>
          <cell r="CH25">
            <v>8</v>
          </cell>
          <cell r="CI25">
            <v>7</v>
          </cell>
          <cell r="CJ25">
            <v>9</v>
          </cell>
          <cell r="CK25">
            <v>8</v>
          </cell>
          <cell r="CL25">
            <v>6</v>
          </cell>
          <cell r="CM25">
            <v>9</v>
          </cell>
          <cell r="CN25">
            <v>9</v>
          </cell>
          <cell r="CO25">
            <v>9</v>
          </cell>
          <cell r="CP25">
            <v>9</v>
          </cell>
          <cell r="CQ25">
            <v>2</v>
          </cell>
          <cell r="CR25">
            <v>7</v>
          </cell>
          <cell r="CS25">
            <v>8</v>
          </cell>
          <cell r="CT25">
            <v>9</v>
          </cell>
          <cell r="CU25">
            <v>9</v>
          </cell>
          <cell r="CV25">
            <v>6</v>
          </cell>
          <cell r="CW25">
            <v>8</v>
          </cell>
          <cell r="CX25">
            <v>7</v>
          </cell>
          <cell r="CY25">
            <v>6</v>
          </cell>
          <cell r="CZ25">
            <v>6</v>
          </cell>
          <cell r="DA25">
            <v>6</v>
          </cell>
          <cell r="DB25">
            <v>7</v>
          </cell>
          <cell r="DC25">
            <v>155</v>
          </cell>
          <cell r="DD25">
            <v>25</v>
          </cell>
          <cell r="DE25">
            <v>24</v>
          </cell>
          <cell r="DF25">
            <v>25</v>
          </cell>
          <cell r="DG25">
            <v>17</v>
          </cell>
          <cell r="DH25">
            <v>19</v>
          </cell>
          <cell r="DI25">
            <v>24</v>
          </cell>
          <cell r="DJ25">
            <v>21</v>
          </cell>
          <cell r="DK25">
            <v>25</v>
          </cell>
          <cell r="DL25">
            <v>33</v>
          </cell>
          <cell r="DM25">
            <v>26</v>
          </cell>
          <cell r="DN25">
            <v>24</v>
          </cell>
          <cell r="DO25">
            <v>33</v>
          </cell>
          <cell r="DP25">
            <v>2</v>
          </cell>
          <cell r="DQ25">
            <v>3</v>
          </cell>
          <cell r="DR25">
            <v>1</v>
          </cell>
          <cell r="DS25">
            <v>0</v>
          </cell>
          <cell r="DT25">
            <v>3</v>
          </cell>
          <cell r="DU25">
            <v>1</v>
          </cell>
          <cell r="DV25">
            <v>0</v>
          </cell>
          <cell r="DW25">
            <v>1</v>
          </cell>
          <cell r="DX25">
            <v>1</v>
          </cell>
          <cell r="DY25">
            <v>0</v>
          </cell>
          <cell r="DZ25">
            <v>2</v>
          </cell>
          <cell r="EA25">
            <v>3</v>
          </cell>
          <cell r="EB25">
            <v>3</v>
          </cell>
          <cell r="EC25">
            <v>1</v>
          </cell>
          <cell r="ED25">
            <v>1</v>
          </cell>
          <cell r="EE25">
            <v>1</v>
          </cell>
          <cell r="EF25">
            <v>0</v>
          </cell>
          <cell r="EG25">
            <v>1</v>
          </cell>
          <cell r="EH25">
            <v>1</v>
          </cell>
          <cell r="EI25">
            <v>0</v>
          </cell>
          <cell r="EJ25">
            <v>0</v>
          </cell>
          <cell r="EK25">
            <v>2</v>
          </cell>
          <cell r="EL25">
            <v>6</v>
          </cell>
          <cell r="EM25">
            <v>8</v>
          </cell>
          <cell r="EN25">
            <v>11</v>
          </cell>
          <cell r="EO25">
            <v>25</v>
          </cell>
          <cell r="EP25">
            <v>5</v>
          </cell>
          <cell r="EQ25">
            <v>3</v>
          </cell>
          <cell r="ER25">
            <v>1</v>
          </cell>
          <cell r="ES25">
            <v>5</v>
          </cell>
          <cell r="ET25">
            <v>5</v>
          </cell>
          <cell r="EU25">
            <v>5</v>
          </cell>
          <cell r="EV25">
            <v>3</v>
          </cell>
          <cell r="EW25">
            <v>1</v>
          </cell>
          <cell r="EX25">
            <v>1</v>
          </cell>
          <cell r="EY25">
            <v>3</v>
          </cell>
          <cell r="EZ25">
            <v>5</v>
          </cell>
          <cell r="FA25">
            <v>3</v>
          </cell>
          <cell r="FB25">
            <v>5</v>
          </cell>
          <cell r="FC25">
            <v>2</v>
          </cell>
          <cell r="FD25">
            <v>4</v>
          </cell>
          <cell r="FE25">
            <v>5</v>
          </cell>
          <cell r="FF25">
            <v>5</v>
          </cell>
          <cell r="FG25">
            <v>61</v>
          </cell>
          <cell r="FH25">
            <v>4</v>
          </cell>
          <cell r="FI25">
            <v>1</v>
          </cell>
          <cell r="FJ25">
            <v>2</v>
          </cell>
          <cell r="FK25">
            <v>3</v>
          </cell>
          <cell r="FL25">
            <v>2</v>
          </cell>
          <cell r="FM25">
            <v>2</v>
          </cell>
          <cell r="FN25">
            <v>1</v>
          </cell>
          <cell r="FO25">
            <v>4</v>
          </cell>
          <cell r="FP25">
            <v>1</v>
          </cell>
          <cell r="FQ25">
            <v>2</v>
          </cell>
          <cell r="FR25">
            <v>4</v>
          </cell>
          <cell r="FS25">
            <v>1</v>
          </cell>
          <cell r="FT25">
            <v>1</v>
          </cell>
          <cell r="FU25">
            <v>4</v>
          </cell>
          <cell r="FV25">
            <v>1</v>
          </cell>
          <cell r="FW25">
            <v>4</v>
          </cell>
          <cell r="FX25">
            <v>1</v>
          </cell>
          <cell r="FY25">
            <v>1</v>
          </cell>
          <cell r="FZ25">
            <v>3</v>
          </cell>
          <cell r="GA25">
            <v>2</v>
          </cell>
          <cell r="GB25">
            <v>2</v>
          </cell>
          <cell r="GC25">
            <v>20</v>
          </cell>
        </row>
        <row r="26">
          <cell r="A26">
            <v>878</v>
          </cell>
          <cell r="B26">
            <v>2</v>
          </cell>
          <cell r="C26">
            <v>41</v>
          </cell>
          <cell r="D26">
            <v>0</v>
          </cell>
          <cell r="E26" t="str">
            <v xml:space="preserve"> </v>
          </cell>
          <cell r="F26">
            <v>1</v>
          </cell>
          <cell r="G26">
            <v>1</v>
          </cell>
          <cell r="H26" t="str">
            <v xml:space="preserve"> </v>
          </cell>
          <cell r="I26">
            <v>2</v>
          </cell>
          <cell r="J26" t="str">
            <v>Environmental Health</v>
          </cell>
          <cell r="K26">
            <v>2</v>
          </cell>
          <cell r="L26">
            <v>5</v>
          </cell>
          <cell r="M26" t="str">
            <v xml:space="preserve"> </v>
          </cell>
          <cell r="N26" t="str">
            <v>5'4</v>
          </cell>
          <cell r="O26">
            <v>190</v>
          </cell>
          <cell r="P26" t="str">
            <v>trazadone</v>
          </cell>
        </row>
        <row r="27">
          <cell r="A27">
            <v>879</v>
          </cell>
          <cell r="B27">
            <v>2</v>
          </cell>
          <cell r="C27">
            <v>28</v>
          </cell>
          <cell r="D27">
            <v>0</v>
          </cell>
          <cell r="E27" t="str">
            <v xml:space="preserve"> </v>
          </cell>
          <cell r="F27">
            <v>5</v>
          </cell>
          <cell r="G27">
            <v>0</v>
          </cell>
          <cell r="H27" t="str">
            <v xml:space="preserve"> </v>
          </cell>
          <cell r="I27">
            <v>3</v>
          </cell>
          <cell r="J27" t="str">
            <v xml:space="preserve"> </v>
          </cell>
          <cell r="K27">
            <v>2</v>
          </cell>
          <cell r="L27">
            <v>2</v>
          </cell>
          <cell r="M27" t="str">
            <v xml:space="preserve"> </v>
          </cell>
          <cell r="N27" t="str">
            <v>5 feet 2</v>
          </cell>
          <cell r="O27">
            <v>175</v>
          </cell>
          <cell r="P27" t="str">
            <v>Lexapro 30 mg for 1 year  Sprintec birth control for 4 years</v>
          </cell>
          <cell r="Q27">
            <v>44665</v>
          </cell>
          <cell r="R27">
            <v>0</v>
          </cell>
          <cell r="S27" t="str">
            <v xml:space="preserve"> </v>
          </cell>
          <cell r="T27">
            <v>0</v>
          </cell>
          <cell r="U27" t="str">
            <v xml:space="preserve"> </v>
          </cell>
          <cell r="V27" t="str">
            <v xml:space="preserve"> </v>
          </cell>
          <cell r="W27">
            <v>0</v>
          </cell>
          <cell r="X27">
            <v>0</v>
          </cell>
          <cell r="Y27">
            <v>0</v>
          </cell>
          <cell r="Z27">
            <v>0</v>
          </cell>
          <cell r="AA27">
            <v>0</v>
          </cell>
          <cell r="AB27">
            <v>0</v>
          </cell>
          <cell r="AC27">
            <v>0</v>
          </cell>
          <cell r="AD27">
            <v>1</v>
          </cell>
          <cell r="AE27">
            <v>1</v>
          </cell>
          <cell r="AF27">
            <v>0</v>
          </cell>
          <cell r="AG27">
            <v>0</v>
          </cell>
          <cell r="AH27">
            <v>0</v>
          </cell>
          <cell r="AI27">
            <v>0</v>
          </cell>
          <cell r="AJ27">
            <v>0</v>
          </cell>
          <cell r="AK27">
            <v>0</v>
          </cell>
          <cell r="AL27">
            <v>0</v>
          </cell>
          <cell r="AM27">
            <v>0</v>
          </cell>
          <cell r="AN27">
            <v>0</v>
          </cell>
          <cell r="AO27">
            <v>0</v>
          </cell>
          <cell r="AP27">
            <v>0</v>
          </cell>
          <cell r="AQ27" t="str">
            <v xml:space="preserve"> </v>
          </cell>
          <cell r="AR27">
            <v>0</v>
          </cell>
          <cell r="AS27">
            <v>1</v>
          </cell>
          <cell r="AT27">
            <v>0</v>
          </cell>
          <cell r="AU27">
            <v>0</v>
          </cell>
          <cell r="AV27">
            <v>0</v>
          </cell>
          <cell r="AW27">
            <v>0</v>
          </cell>
          <cell r="AX27">
            <v>0</v>
          </cell>
          <cell r="AY27">
            <v>0</v>
          </cell>
          <cell r="AZ27">
            <v>20</v>
          </cell>
          <cell r="BA27">
            <v>0</v>
          </cell>
          <cell r="BB27" t="str">
            <v xml:space="preserve"> </v>
          </cell>
          <cell r="BC27" t="str">
            <v xml:space="preserve"> </v>
          </cell>
          <cell r="BD27">
            <v>0</v>
          </cell>
          <cell r="BE27" t="str">
            <v xml:space="preserve"> </v>
          </cell>
          <cell r="BF27" t="str">
            <v xml:space="preserve"> </v>
          </cell>
          <cell r="BG27">
            <v>7</v>
          </cell>
          <cell r="BH27">
            <v>0</v>
          </cell>
          <cell r="BI27">
            <v>30</v>
          </cell>
          <cell r="BJ27">
            <v>10</v>
          </cell>
          <cell r="BK27">
            <v>0</v>
          </cell>
          <cell r="BL27">
            <v>600</v>
          </cell>
          <cell r="BM27">
            <v>693</v>
          </cell>
          <cell r="BN27">
            <v>0</v>
          </cell>
          <cell r="BO27">
            <v>0</v>
          </cell>
          <cell r="BP27">
            <v>693</v>
          </cell>
          <cell r="BQ27">
            <v>2</v>
          </cell>
          <cell r="BR27">
            <v>6</v>
          </cell>
          <cell r="BS27">
            <v>7</v>
          </cell>
          <cell r="BT27">
            <v>5</v>
          </cell>
          <cell r="BU27">
            <v>3</v>
          </cell>
          <cell r="BV27">
            <v>7</v>
          </cell>
          <cell r="BW27">
            <v>5</v>
          </cell>
          <cell r="BX27">
            <v>5</v>
          </cell>
          <cell r="BY27">
            <v>2</v>
          </cell>
          <cell r="BZ27">
            <v>6</v>
          </cell>
          <cell r="CA27">
            <v>7</v>
          </cell>
          <cell r="CB27">
            <v>5</v>
          </cell>
          <cell r="CC27">
            <v>5</v>
          </cell>
          <cell r="CD27">
            <v>6.75</v>
          </cell>
          <cell r="CE27">
            <v>3.75</v>
          </cell>
          <cell r="CF27">
            <v>5.25</v>
          </cell>
          <cell r="CG27">
            <v>5.25</v>
          </cell>
          <cell r="CH27">
            <v>9</v>
          </cell>
          <cell r="CI27">
            <v>5</v>
          </cell>
          <cell r="CJ27">
            <v>6</v>
          </cell>
          <cell r="CK27">
            <v>8</v>
          </cell>
          <cell r="CL27">
            <v>3</v>
          </cell>
          <cell r="CM27">
            <v>9</v>
          </cell>
          <cell r="CN27">
            <v>7</v>
          </cell>
          <cell r="CO27">
            <v>2</v>
          </cell>
          <cell r="CP27">
            <v>8</v>
          </cell>
          <cell r="CQ27">
            <v>7</v>
          </cell>
          <cell r="CR27">
            <v>8</v>
          </cell>
          <cell r="CS27">
            <v>9</v>
          </cell>
          <cell r="CT27">
            <v>9</v>
          </cell>
          <cell r="CU27">
            <v>7</v>
          </cell>
          <cell r="CV27">
            <v>7</v>
          </cell>
          <cell r="CW27">
            <v>9</v>
          </cell>
          <cell r="CX27">
            <v>6</v>
          </cell>
          <cell r="CY27">
            <v>4</v>
          </cell>
          <cell r="CZ27">
            <v>3</v>
          </cell>
          <cell r="DA27">
            <v>3</v>
          </cell>
          <cell r="DB27">
            <v>2</v>
          </cell>
          <cell r="DC27">
            <v>131</v>
          </cell>
          <cell r="DD27">
            <v>26</v>
          </cell>
          <cell r="DE27">
            <v>22</v>
          </cell>
          <cell r="DF27">
            <v>15</v>
          </cell>
          <cell r="DG27">
            <v>16</v>
          </cell>
          <cell r="DH27">
            <v>11</v>
          </cell>
          <cell r="DI27">
            <v>23</v>
          </cell>
          <cell r="DJ27">
            <v>18</v>
          </cell>
          <cell r="DK27">
            <v>24</v>
          </cell>
          <cell r="DL27">
            <v>27</v>
          </cell>
          <cell r="DM27">
            <v>17</v>
          </cell>
          <cell r="DN27">
            <v>19</v>
          </cell>
          <cell r="DO27">
            <v>30</v>
          </cell>
          <cell r="DP27">
            <v>14</v>
          </cell>
          <cell r="DQ27">
            <v>0</v>
          </cell>
          <cell r="DR27">
            <v>1</v>
          </cell>
          <cell r="DS27">
            <v>1</v>
          </cell>
          <cell r="DT27">
            <v>0</v>
          </cell>
          <cell r="DU27">
            <v>3</v>
          </cell>
          <cell r="DV27">
            <v>1</v>
          </cell>
          <cell r="DW27">
            <v>0</v>
          </cell>
          <cell r="DX27">
            <v>1</v>
          </cell>
          <cell r="DY27">
            <v>1</v>
          </cell>
          <cell r="DZ27">
            <v>1</v>
          </cell>
          <cell r="EA27">
            <v>0</v>
          </cell>
          <cell r="EB27">
            <v>0</v>
          </cell>
          <cell r="EC27">
            <v>1</v>
          </cell>
          <cell r="ED27">
            <v>0</v>
          </cell>
          <cell r="EE27">
            <v>0</v>
          </cell>
          <cell r="EF27">
            <v>1</v>
          </cell>
          <cell r="EG27">
            <v>1</v>
          </cell>
          <cell r="EH27">
            <v>0</v>
          </cell>
          <cell r="EI27">
            <v>0</v>
          </cell>
          <cell r="EJ27">
            <v>0</v>
          </cell>
          <cell r="EK27">
            <v>1</v>
          </cell>
          <cell r="EL27">
            <v>2</v>
          </cell>
          <cell r="EM27">
            <v>9</v>
          </cell>
          <cell r="EN27">
            <v>2</v>
          </cell>
          <cell r="EO27">
            <v>13</v>
          </cell>
          <cell r="EP27">
            <v>5</v>
          </cell>
          <cell r="EQ27">
            <v>3</v>
          </cell>
          <cell r="ER27">
            <v>4</v>
          </cell>
          <cell r="ES27">
            <v>4</v>
          </cell>
          <cell r="ET27">
            <v>5</v>
          </cell>
          <cell r="EU27">
            <v>3</v>
          </cell>
          <cell r="EV27">
            <v>3</v>
          </cell>
          <cell r="EW27">
            <v>3</v>
          </cell>
          <cell r="EX27">
            <v>3</v>
          </cell>
          <cell r="EY27">
            <v>5</v>
          </cell>
          <cell r="EZ27">
            <v>5</v>
          </cell>
          <cell r="FA27">
            <v>4</v>
          </cell>
          <cell r="FB27">
            <v>5</v>
          </cell>
          <cell r="FC27">
            <v>3</v>
          </cell>
          <cell r="FD27">
            <v>4</v>
          </cell>
          <cell r="FE27">
            <v>5</v>
          </cell>
          <cell r="FF27">
            <v>3</v>
          </cell>
          <cell r="FG27">
            <v>67</v>
          </cell>
          <cell r="FH27">
            <v>3</v>
          </cell>
          <cell r="FI27">
            <v>2</v>
          </cell>
          <cell r="FJ27">
            <v>1</v>
          </cell>
          <cell r="FK27">
            <v>4</v>
          </cell>
          <cell r="FL27">
            <v>3</v>
          </cell>
          <cell r="FM27">
            <v>2</v>
          </cell>
          <cell r="FN27">
            <v>3</v>
          </cell>
          <cell r="FO27">
            <v>3</v>
          </cell>
          <cell r="FP27">
            <v>2</v>
          </cell>
          <cell r="FQ27">
            <v>2</v>
          </cell>
          <cell r="FR27">
            <v>3</v>
          </cell>
          <cell r="FS27">
            <v>2</v>
          </cell>
          <cell r="FT27">
            <v>3</v>
          </cell>
          <cell r="FU27">
            <v>3</v>
          </cell>
          <cell r="FV27">
            <v>2</v>
          </cell>
          <cell r="FW27">
            <v>2</v>
          </cell>
          <cell r="FX27">
            <v>3</v>
          </cell>
          <cell r="FY27">
            <v>2</v>
          </cell>
          <cell r="FZ27">
            <v>3</v>
          </cell>
          <cell r="GA27">
            <v>2</v>
          </cell>
          <cell r="GB27">
            <v>1</v>
          </cell>
          <cell r="GC27">
            <v>30</v>
          </cell>
        </row>
        <row r="28">
          <cell r="A28">
            <v>882</v>
          </cell>
          <cell r="B28">
            <v>0</v>
          </cell>
          <cell r="C28">
            <v>23</v>
          </cell>
          <cell r="D28">
            <v>1</v>
          </cell>
          <cell r="E28" t="str">
            <v xml:space="preserve"> </v>
          </cell>
          <cell r="F28">
            <v>5</v>
          </cell>
          <cell r="G28">
            <v>0</v>
          </cell>
          <cell r="H28" t="str">
            <v xml:space="preserve"> </v>
          </cell>
          <cell r="I28">
            <v>2</v>
          </cell>
          <cell r="J28" t="str">
            <v>Waiter</v>
          </cell>
          <cell r="K28">
            <v>2</v>
          </cell>
          <cell r="L28">
            <v>5</v>
          </cell>
          <cell r="M28" t="str">
            <v xml:space="preserve"> </v>
          </cell>
          <cell r="N28" t="str">
            <v>6' 2"</v>
          </cell>
          <cell r="O28">
            <v>152</v>
          </cell>
          <cell r="P28" t="str">
            <v>N/A</v>
          </cell>
          <cell r="Q28" t="str">
            <v xml:space="preserve"> </v>
          </cell>
          <cell r="R28" t="str">
            <v xml:space="preserve"> </v>
          </cell>
          <cell r="S28" t="str">
            <v xml:space="preserve"> </v>
          </cell>
          <cell r="T28">
            <v>0</v>
          </cell>
          <cell r="U28" t="str">
            <v xml:space="preserve"> </v>
          </cell>
          <cell r="V28" t="str">
            <v xml:space="preserve"> </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t="str">
            <v xml:space="preserve"> </v>
          </cell>
          <cell r="AR28">
            <v>0</v>
          </cell>
          <cell r="AS28">
            <v>0</v>
          </cell>
          <cell r="AT28">
            <v>0</v>
          </cell>
          <cell r="AU28">
            <v>0</v>
          </cell>
          <cell r="AV28">
            <v>0</v>
          </cell>
          <cell r="AW28">
            <v>0</v>
          </cell>
          <cell r="AX28">
            <v>0</v>
          </cell>
          <cell r="AY28">
            <v>0</v>
          </cell>
          <cell r="AZ28">
            <v>0</v>
          </cell>
          <cell r="BA28">
            <v>0</v>
          </cell>
          <cell r="BB28" t="str">
            <v xml:space="preserve"> </v>
          </cell>
          <cell r="BC28" t="str">
            <v xml:space="preserve"> </v>
          </cell>
          <cell r="BD28">
            <v>0</v>
          </cell>
          <cell r="BE28" t="str">
            <v xml:space="preserve"> </v>
          </cell>
          <cell r="BF28" t="str">
            <v xml:space="preserve"> </v>
          </cell>
          <cell r="BG28">
            <v>7</v>
          </cell>
          <cell r="BH28">
            <v>1</v>
          </cell>
          <cell r="BI28">
            <v>0</v>
          </cell>
          <cell r="BJ28">
            <v>12</v>
          </cell>
          <cell r="BK28">
            <v>0</v>
          </cell>
          <cell r="BL28">
            <v>720</v>
          </cell>
          <cell r="BM28">
            <v>1386</v>
          </cell>
          <cell r="BN28">
            <v>0</v>
          </cell>
          <cell r="BO28">
            <v>0</v>
          </cell>
          <cell r="BP28">
            <v>1386</v>
          </cell>
          <cell r="BQ28">
            <v>2</v>
          </cell>
          <cell r="BR28">
            <v>6</v>
          </cell>
          <cell r="BS28">
            <v>7</v>
          </cell>
          <cell r="BT28">
            <v>5</v>
          </cell>
          <cell r="BU28">
            <v>5</v>
          </cell>
          <cell r="BV28">
            <v>7</v>
          </cell>
          <cell r="BW28">
            <v>6</v>
          </cell>
          <cell r="BX28">
            <v>5</v>
          </cell>
          <cell r="BY28">
            <v>4</v>
          </cell>
          <cell r="BZ28">
            <v>6</v>
          </cell>
          <cell r="CA28">
            <v>7</v>
          </cell>
          <cell r="CB28">
            <v>6</v>
          </cell>
          <cell r="CC28">
            <v>7</v>
          </cell>
          <cell r="CD28">
            <v>6.75</v>
          </cell>
          <cell r="CE28">
            <v>5</v>
          </cell>
          <cell r="CF28">
            <v>6</v>
          </cell>
          <cell r="CG28">
            <v>5.9166666670000003</v>
          </cell>
          <cell r="CH28">
            <v>6</v>
          </cell>
          <cell r="CI28">
            <v>8</v>
          </cell>
          <cell r="CJ28">
            <v>9</v>
          </cell>
          <cell r="CK28">
            <v>8</v>
          </cell>
          <cell r="CL28">
            <v>8</v>
          </cell>
          <cell r="CM28">
            <v>9</v>
          </cell>
          <cell r="CN28">
            <v>9</v>
          </cell>
          <cell r="CO28">
            <v>7</v>
          </cell>
          <cell r="CP28">
            <v>8</v>
          </cell>
          <cell r="CQ28">
            <v>7</v>
          </cell>
          <cell r="CR28">
            <v>9</v>
          </cell>
          <cell r="CS28">
            <v>8</v>
          </cell>
          <cell r="CT28">
            <v>9</v>
          </cell>
          <cell r="CU28">
            <v>9</v>
          </cell>
          <cell r="CV28">
            <v>7</v>
          </cell>
          <cell r="CW28">
            <v>7</v>
          </cell>
          <cell r="CX28">
            <v>8</v>
          </cell>
          <cell r="CY28">
            <v>8</v>
          </cell>
          <cell r="CZ28">
            <v>9</v>
          </cell>
          <cell r="DA28">
            <v>9</v>
          </cell>
          <cell r="DB28">
            <v>9</v>
          </cell>
          <cell r="DC28">
            <v>171</v>
          </cell>
          <cell r="DD28">
            <v>21</v>
          </cell>
          <cell r="DE28">
            <v>26</v>
          </cell>
          <cell r="DF28">
            <v>27</v>
          </cell>
          <cell r="DG28">
            <v>21</v>
          </cell>
          <cell r="DH28">
            <v>25</v>
          </cell>
          <cell r="DI28">
            <v>26</v>
          </cell>
          <cell r="DJ28">
            <v>25</v>
          </cell>
          <cell r="DK28">
            <v>25</v>
          </cell>
          <cell r="DL28">
            <v>35</v>
          </cell>
          <cell r="DM28">
            <v>33</v>
          </cell>
          <cell r="DN28">
            <v>23</v>
          </cell>
          <cell r="DO28">
            <v>32</v>
          </cell>
          <cell r="DP28">
            <v>23</v>
          </cell>
          <cell r="DQ28">
            <v>1</v>
          </cell>
          <cell r="DR28">
            <v>0</v>
          </cell>
          <cell r="DS28">
            <v>0</v>
          </cell>
          <cell r="DT28">
            <v>0</v>
          </cell>
          <cell r="DU28">
            <v>0</v>
          </cell>
          <cell r="DV28">
            <v>0</v>
          </cell>
          <cell r="DW28">
            <v>0</v>
          </cell>
          <cell r="DX28">
            <v>0</v>
          </cell>
          <cell r="DY28">
            <v>0</v>
          </cell>
          <cell r="DZ28">
            <v>0</v>
          </cell>
          <cell r="EA28">
            <v>0</v>
          </cell>
          <cell r="EB28">
            <v>0</v>
          </cell>
          <cell r="EC28">
            <v>1</v>
          </cell>
          <cell r="ED28">
            <v>0</v>
          </cell>
          <cell r="EE28">
            <v>0</v>
          </cell>
          <cell r="EF28">
            <v>0</v>
          </cell>
          <cell r="EG28">
            <v>0</v>
          </cell>
          <cell r="EH28">
            <v>0</v>
          </cell>
          <cell r="EI28">
            <v>1</v>
          </cell>
          <cell r="EJ28">
            <v>0</v>
          </cell>
          <cell r="EK28">
            <v>0</v>
          </cell>
          <cell r="EL28">
            <v>1</v>
          </cell>
          <cell r="EM28">
            <v>1</v>
          </cell>
          <cell r="EN28">
            <v>1</v>
          </cell>
          <cell r="EO28">
            <v>3</v>
          </cell>
          <cell r="EP28">
            <v>5</v>
          </cell>
          <cell r="EQ28">
            <v>3</v>
          </cell>
          <cell r="ER28">
            <v>3</v>
          </cell>
          <cell r="ES28">
            <v>5</v>
          </cell>
          <cell r="ET28">
            <v>3</v>
          </cell>
          <cell r="EU28">
            <v>2</v>
          </cell>
          <cell r="EV28">
            <v>5</v>
          </cell>
          <cell r="EW28">
            <v>3</v>
          </cell>
          <cell r="EX28">
            <v>3</v>
          </cell>
          <cell r="EY28">
            <v>3</v>
          </cell>
          <cell r="EZ28">
            <v>5</v>
          </cell>
          <cell r="FA28">
            <v>2</v>
          </cell>
          <cell r="FB28">
            <v>2</v>
          </cell>
          <cell r="FC28">
            <v>2</v>
          </cell>
          <cell r="FD28">
            <v>4</v>
          </cell>
          <cell r="FE28">
            <v>3</v>
          </cell>
          <cell r="FF28">
            <v>4</v>
          </cell>
          <cell r="FG28">
            <v>57</v>
          </cell>
          <cell r="FH28">
            <v>3</v>
          </cell>
          <cell r="FI28">
            <v>2</v>
          </cell>
          <cell r="FJ28">
            <v>1</v>
          </cell>
          <cell r="FK28">
            <v>4</v>
          </cell>
          <cell r="FL28">
            <v>1</v>
          </cell>
          <cell r="FM28">
            <v>2</v>
          </cell>
          <cell r="FN28">
            <v>1</v>
          </cell>
          <cell r="FO28">
            <v>3</v>
          </cell>
          <cell r="FP28">
            <v>2</v>
          </cell>
          <cell r="FQ28">
            <v>1</v>
          </cell>
          <cell r="FR28">
            <v>3</v>
          </cell>
          <cell r="FS28">
            <v>2</v>
          </cell>
          <cell r="FT28">
            <v>1</v>
          </cell>
          <cell r="FU28">
            <v>4</v>
          </cell>
          <cell r="FV28">
            <v>1</v>
          </cell>
          <cell r="FW28">
            <v>4</v>
          </cell>
          <cell r="FX28">
            <v>1</v>
          </cell>
          <cell r="FY28">
            <v>1</v>
          </cell>
          <cell r="FZ28">
            <v>4</v>
          </cell>
          <cell r="GA28">
            <v>1</v>
          </cell>
          <cell r="GB28">
            <v>2</v>
          </cell>
          <cell r="GC28">
            <v>19</v>
          </cell>
        </row>
        <row r="29">
          <cell r="A29">
            <v>883</v>
          </cell>
          <cell r="B29">
            <v>0</v>
          </cell>
          <cell r="C29">
            <v>27</v>
          </cell>
          <cell r="D29">
            <v>0</v>
          </cell>
          <cell r="E29" t="str">
            <v xml:space="preserve"> </v>
          </cell>
          <cell r="F29">
            <v>5</v>
          </cell>
          <cell r="G29">
            <v>0</v>
          </cell>
          <cell r="H29" t="str">
            <v xml:space="preserve"> </v>
          </cell>
          <cell r="I29">
            <v>2</v>
          </cell>
          <cell r="J29" t="str">
            <v>Social Worker</v>
          </cell>
          <cell r="K29">
            <v>2</v>
          </cell>
          <cell r="L29">
            <v>5</v>
          </cell>
          <cell r="M29" t="str">
            <v xml:space="preserve"> </v>
          </cell>
          <cell r="N29">
            <v>63</v>
          </cell>
          <cell r="O29">
            <v>189</v>
          </cell>
          <cell r="P29" t="str">
            <v>n/a</v>
          </cell>
          <cell r="Q29" t="str">
            <v xml:space="preserve"> </v>
          </cell>
          <cell r="R29">
            <v>1</v>
          </cell>
          <cell r="S29">
            <v>3</v>
          </cell>
          <cell r="T29">
            <v>0</v>
          </cell>
          <cell r="U29" t="str">
            <v xml:space="preserve"> </v>
          </cell>
          <cell r="V29" t="str">
            <v xml:space="preserve"> </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t="str">
            <v xml:space="preserve"> </v>
          </cell>
          <cell r="AR29">
            <v>0</v>
          </cell>
          <cell r="AS29">
            <v>0</v>
          </cell>
          <cell r="AT29">
            <v>0</v>
          </cell>
          <cell r="AU29">
            <v>0</v>
          </cell>
          <cell r="AV29">
            <v>0</v>
          </cell>
          <cell r="AW29">
            <v>0</v>
          </cell>
          <cell r="AX29">
            <v>0</v>
          </cell>
          <cell r="AY29">
            <v>0</v>
          </cell>
          <cell r="AZ29">
            <v>0</v>
          </cell>
          <cell r="BA29">
            <v>6</v>
          </cell>
          <cell r="BB29">
            <v>5</v>
          </cell>
          <cell r="BC29">
            <v>30</v>
          </cell>
          <cell r="BD29">
            <v>2</v>
          </cell>
          <cell r="BE29">
            <v>2</v>
          </cell>
          <cell r="BF29">
            <v>45</v>
          </cell>
          <cell r="BG29">
            <v>5</v>
          </cell>
          <cell r="BH29">
            <v>2</v>
          </cell>
          <cell r="BI29">
            <v>0</v>
          </cell>
          <cell r="BJ29">
            <v>5</v>
          </cell>
          <cell r="BK29">
            <v>0</v>
          </cell>
          <cell r="BL29">
            <v>300</v>
          </cell>
          <cell r="BM29">
            <v>1980</v>
          </cell>
          <cell r="BN29">
            <v>1320</v>
          </cell>
          <cell r="BO29">
            <v>15840</v>
          </cell>
          <cell r="BP29">
            <v>19140</v>
          </cell>
          <cell r="BQ29">
            <v>3</v>
          </cell>
          <cell r="BR29">
            <v>6</v>
          </cell>
          <cell r="BS29">
            <v>6</v>
          </cell>
          <cell r="BT29">
            <v>6</v>
          </cell>
          <cell r="BU29">
            <v>6</v>
          </cell>
          <cell r="BV29">
            <v>7</v>
          </cell>
          <cell r="BW29">
            <v>7</v>
          </cell>
          <cell r="BX29">
            <v>7</v>
          </cell>
          <cell r="BY29">
            <v>6</v>
          </cell>
          <cell r="BZ29">
            <v>7</v>
          </cell>
          <cell r="CA29">
            <v>6</v>
          </cell>
          <cell r="CB29">
            <v>6</v>
          </cell>
          <cell r="CC29">
            <v>6</v>
          </cell>
          <cell r="CD29">
            <v>6.25</v>
          </cell>
          <cell r="CE29">
            <v>6</v>
          </cell>
          <cell r="CF29">
            <v>6.75</v>
          </cell>
          <cell r="CG29">
            <v>6.3333333329999997</v>
          </cell>
          <cell r="CH29">
            <v>8</v>
          </cell>
          <cell r="CI29">
            <v>8</v>
          </cell>
          <cell r="CJ29">
            <v>9</v>
          </cell>
          <cell r="CK29">
            <v>8</v>
          </cell>
          <cell r="CL29">
            <v>8</v>
          </cell>
          <cell r="CM29">
            <v>8</v>
          </cell>
          <cell r="CN29">
            <v>8</v>
          </cell>
          <cell r="CO29">
            <v>8</v>
          </cell>
          <cell r="CP29">
            <v>8</v>
          </cell>
          <cell r="CQ29">
            <v>8</v>
          </cell>
          <cell r="CR29">
            <v>8</v>
          </cell>
          <cell r="CS29">
            <v>9</v>
          </cell>
          <cell r="CT29">
            <v>3</v>
          </cell>
          <cell r="CU29">
            <v>8</v>
          </cell>
          <cell r="CV29">
            <v>8</v>
          </cell>
          <cell r="CW29">
            <v>6</v>
          </cell>
          <cell r="CX29">
            <v>9</v>
          </cell>
          <cell r="CY29">
            <v>4</v>
          </cell>
          <cell r="CZ29">
            <v>7</v>
          </cell>
          <cell r="DA29">
            <v>8</v>
          </cell>
          <cell r="DB29">
            <v>7</v>
          </cell>
          <cell r="DC29">
            <v>158</v>
          </cell>
          <cell r="DD29">
            <v>22</v>
          </cell>
          <cell r="DE29">
            <v>15</v>
          </cell>
          <cell r="DF29">
            <v>24</v>
          </cell>
          <cell r="DG29">
            <v>24</v>
          </cell>
          <cell r="DH29">
            <v>24</v>
          </cell>
          <cell r="DI29">
            <v>24</v>
          </cell>
          <cell r="DJ29">
            <v>25</v>
          </cell>
          <cell r="DK29">
            <v>25</v>
          </cell>
          <cell r="DL29">
            <v>26</v>
          </cell>
          <cell r="DM29">
            <v>31</v>
          </cell>
          <cell r="DN29">
            <v>22</v>
          </cell>
          <cell r="DO29">
            <v>34</v>
          </cell>
          <cell r="DP29">
            <v>20</v>
          </cell>
          <cell r="DQ29">
            <v>1</v>
          </cell>
          <cell r="DR29">
            <v>1</v>
          </cell>
          <cell r="DS29">
            <v>0</v>
          </cell>
          <cell r="DT29">
            <v>0</v>
          </cell>
          <cell r="DU29">
            <v>1</v>
          </cell>
          <cell r="DV29">
            <v>0</v>
          </cell>
          <cell r="DW29">
            <v>0</v>
          </cell>
          <cell r="DX29">
            <v>0</v>
          </cell>
          <cell r="DY29">
            <v>0</v>
          </cell>
          <cell r="DZ29">
            <v>0</v>
          </cell>
          <cell r="EA29">
            <v>1</v>
          </cell>
          <cell r="EB29">
            <v>1</v>
          </cell>
          <cell r="EC29">
            <v>0</v>
          </cell>
          <cell r="ED29">
            <v>0</v>
          </cell>
          <cell r="EE29">
            <v>0</v>
          </cell>
          <cell r="EF29">
            <v>0</v>
          </cell>
          <cell r="EG29">
            <v>0</v>
          </cell>
          <cell r="EH29">
            <v>0</v>
          </cell>
          <cell r="EI29">
            <v>0</v>
          </cell>
          <cell r="EJ29">
            <v>0</v>
          </cell>
          <cell r="EK29">
            <v>0</v>
          </cell>
          <cell r="EL29">
            <v>1</v>
          </cell>
          <cell r="EM29">
            <v>1</v>
          </cell>
          <cell r="EN29">
            <v>3</v>
          </cell>
          <cell r="EO29">
            <v>5</v>
          </cell>
          <cell r="EP29">
            <v>5</v>
          </cell>
          <cell r="EQ29">
            <v>5</v>
          </cell>
          <cell r="ER29">
            <v>2</v>
          </cell>
          <cell r="ES29">
            <v>5</v>
          </cell>
          <cell r="ET29">
            <v>5</v>
          </cell>
          <cell r="EU29">
            <v>5</v>
          </cell>
          <cell r="EV29">
            <v>3</v>
          </cell>
          <cell r="EW29">
            <v>3</v>
          </cell>
          <cell r="EX29">
            <v>1</v>
          </cell>
          <cell r="EY29">
            <v>3</v>
          </cell>
          <cell r="EZ29">
            <v>5</v>
          </cell>
          <cell r="FA29">
            <v>2</v>
          </cell>
          <cell r="FB29">
            <v>3</v>
          </cell>
          <cell r="FC29">
            <v>2</v>
          </cell>
          <cell r="FD29">
            <v>3</v>
          </cell>
          <cell r="FE29">
            <v>3</v>
          </cell>
          <cell r="FF29">
            <v>5</v>
          </cell>
          <cell r="FG29">
            <v>60</v>
          </cell>
          <cell r="FH29">
            <v>4</v>
          </cell>
          <cell r="FI29">
            <v>1</v>
          </cell>
          <cell r="FJ29">
            <v>1</v>
          </cell>
          <cell r="FK29">
            <v>4</v>
          </cell>
          <cell r="FL29">
            <v>1</v>
          </cell>
          <cell r="FM29">
            <v>1</v>
          </cell>
          <cell r="FN29">
            <v>1</v>
          </cell>
          <cell r="FO29">
            <v>4</v>
          </cell>
          <cell r="FP29">
            <v>1</v>
          </cell>
          <cell r="FQ29">
            <v>2</v>
          </cell>
          <cell r="FR29">
            <v>3</v>
          </cell>
          <cell r="FS29">
            <v>2</v>
          </cell>
          <cell r="FT29">
            <v>2</v>
          </cell>
          <cell r="FU29">
            <v>3</v>
          </cell>
          <cell r="FV29">
            <v>2</v>
          </cell>
          <cell r="FW29">
            <v>4</v>
          </cell>
          <cell r="FX29">
            <v>1</v>
          </cell>
          <cell r="FY29">
            <v>2</v>
          </cell>
          <cell r="FZ29">
            <v>4</v>
          </cell>
          <cell r="GA29">
            <v>1</v>
          </cell>
          <cell r="GB29">
            <v>1</v>
          </cell>
          <cell r="GC29">
            <v>19</v>
          </cell>
        </row>
        <row r="30">
          <cell r="A30">
            <v>884</v>
          </cell>
          <cell r="B30">
            <v>2</v>
          </cell>
          <cell r="C30">
            <v>27</v>
          </cell>
          <cell r="D30">
            <v>1</v>
          </cell>
          <cell r="E30" t="str">
            <v xml:space="preserve"> </v>
          </cell>
          <cell r="F30">
            <v>5</v>
          </cell>
          <cell r="G30">
            <v>0</v>
          </cell>
          <cell r="H30" t="str">
            <v xml:space="preserve"> </v>
          </cell>
          <cell r="I30">
            <v>5</v>
          </cell>
          <cell r="J30" t="str">
            <v>Operating Room Aide</v>
          </cell>
          <cell r="K30">
            <v>2</v>
          </cell>
          <cell r="L30">
            <v>5</v>
          </cell>
          <cell r="M30" t="str">
            <v xml:space="preserve"> </v>
          </cell>
          <cell r="N30" t="str">
            <v>5'2"</v>
          </cell>
          <cell r="O30">
            <v>195</v>
          </cell>
          <cell r="P30" t="str">
            <v>Testosterone</v>
          </cell>
          <cell r="Q30" t="str">
            <v xml:space="preserve"> </v>
          </cell>
          <cell r="R30">
            <v>3</v>
          </cell>
          <cell r="S30" t="str">
            <v xml:space="preserve"> </v>
          </cell>
          <cell r="T30">
            <v>0</v>
          </cell>
          <cell r="U30" t="str">
            <v xml:space="preserve"> </v>
          </cell>
          <cell r="V30" t="str">
            <v xml:space="preserve"> </v>
          </cell>
          <cell r="W30">
            <v>1</v>
          </cell>
          <cell r="X30">
            <v>0</v>
          </cell>
          <cell r="Y30">
            <v>0</v>
          </cell>
          <cell r="Z30">
            <v>0</v>
          </cell>
          <cell r="AA30">
            <v>0</v>
          </cell>
          <cell r="AB30">
            <v>0</v>
          </cell>
          <cell r="AC30">
            <v>0</v>
          </cell>
          <cell r="AD30">
            <v>1</v>
          </cell>
          <cell r="AE30">
            <v>1</v>
          </cell>
          <cell r="AF30">
            <v>1</v>
          </cell>
          <cell r="AG30">
            <v>0</v>
          </cell>
          <cell r="AH30">
            <v>0</v>
          </cell>
          <cell r="AI30">
            <v>0</v>
          </cell>
          <cell r="AJ30">
            <v>0</v>
          </cell>
          <cell r="AK30">
            <v>0</v>
          </cell>
          <cell r="AL30">
            <v>0</v>
          </cell>
          <cell r="AM30">
            <v>0</v>
          </cell>
          <cell r="AN30">
            <v>0</v>
          </cell>
          <cell r="AO30">
            <v>0</v>
          </cell>
          <cell r="AP30">
            <v>0</v>
          </cell>
          <cell r="AQ30" t="str">
            <v xml:space="preserve"> </v>
          </cell>
          <cell r="AR30">
            <v>0</v>
          </cell>
          <cell r="AS30">
            <v>0</v>
          </cell>
          <cell r="AT30">
            <v>0</v>
          </cell>
          <cell r="AU30">
            <v>0</v>
          </cell>
          <cell r="AV30">
            <v>1</v>
          </cell>
          <cell r="AW30">
            <v>1</v>
          </cell>
          <cell r="AX30">
            <v>1</v>
          </cell>
          <cell r="AY30">
            <v>0</v>
          </cell>
          <cell r="AZ30">
            <v>25</v>
          </cell>
          <cell r="BA30">
            <v>2</v>
          </cell>
          <cell r="BB30">
            <v>0</v>
          </cell>
          <cell r="BC30">
            <v>30</v>
          </cell>
          <cell r="BD30">
            <v>2</v>
          </cell>
          <cell r="BE30">
            <v>1</v>
          </cell>
          <cell r="BF30">
            <v>30</v>
          </cell>
          <cell r="BG30">
            <v>5</v>
          </cell>
          <cell r="BH30">
            <v>7</v>
          </cell>
          <cell r="BI30">
            <v>0</v>
          </cell>
          <cell r="BJ30">
            <v>4</v>
          </cell>
          <cell r="BK30">
            <v>0</v>
          </cell>
          <cell r="BL30">
            <v>240</v>
          </cell>
          <cell r="BM30">
            <v>6930</v>
          </cell>
          <cell r="BN30">
            <v>720</v>
          </cell>
          <cell r="BO30">
            <v>480</v>
          </cell>
          <cell r="BP30">
            <v>8130</v>
          </cell>
          <cell r="BQ30">
            <v>3</v>
          </cell>
          <cell r="BR30">
            <v>7</v>
          </cell>
          <cell r="BS30">
            <v>7</v>
          </cell>
          <cell r="BT30">
            <v>7</v>
          </cell>
          <cell r="BU30">
            <v>6</v>
          </cell>
          <cell r="BV30">
            <v>7</v>
          </cell>
          <cell r="BW30">
            <v>5</v>
          </cell>
          <cell r="BX30">
            <v>5</v>
          </cell>
          <cell r="BY30">
            <v>4</v>
          </cell>
          <cell r="BZ30">
            <v>7</v>
          </cell>
          <cell r="CA30">
            <v>5</v>
          </cell>
          <cell r="CB30">
            <v>7</v>
          </cell>
          <cell r="CC30">
            <v>5</v>
          </cell>
          <cell r="CD30">
            <v>6.5</v>
          </cell>
          <cell r="CE30">
            <v>6</v>
          </cell>
          <cell r="CF30">
            <v>5.5</v>
          </cell>
          <cell r="CG30">
            <v>6</v>
          </cell>
          <cell r="CH30">
            <v>4</v>
          </cell>
          <cell r="CI30">
            <v>9</v>
          </cell>
          <cell r="CJ30">
            <v>9</v>
          </cell>
          <cell r="CK30">
            <v>9</v>
          </cell>
          <cell r="CL30">
            <v>9</v>
          </cell>
          <cell r="CM30">
            <v>7</v>
          </cell>
          <cell r="CN30">
            <v>9</v>
          </cell>
          <cell r="CO30">
            <v>5</v>
          </cell>
          <cell r="CP30">
            <v>8</v>
          </cell>
          <cell r="CQ30">
            <v>9</v>
          </cell>
          <cell r="CR30">
            <v>9</v>
          </cell>
          <cell r="CS30">
            <v>9</v>
          </cell>
          <cell r="CT30">
            <v>3</v>
          </cell>
          <cell r="CU30">
            <v>8</v>
          </cell>
          <cell r="CV30">
            <v>9</v>
          </cell>
          <cell r="CW30">
            <v>7</v>
          </cell>
          <cell r="CX30">
            <v>9</v>
          </cell>
          <cell r="CY30">
            <v>3</v>
          </cell>
          <cell r="CZ30">
            <v>9</v>
          </cell>
          <cell r="DA30">
            <v>8</v>
          </cell>
          <cell r="DB30">
            <v>8</v>
          </cell>
          <cell r="DC30">
            <v>160</v>
          </cell>
          <cell r="DD30">
            <v>19</v>
          </cell>
          <cell r="DE30">
            <v>13</v>
          </cell>
          <cell r="DF30">
            <v>26</v>
          </cell>
          <cell r="DG30">
            <v>23</v>
          </cell>
          <cell r="DH30">
            <v>26</v>
          </cell>
          <cell r="DI30">
            <v>26</v>
          </cell>
          <cell r="DJ30">
            <v>27</v>
          </cell>
          <cell r="DK30">
            <v>26</v>
          </cell>
          <cell r="DL30">
            <v>29</v>
          </cell>
          <cell r="DM30">
            <v>34</v>
          </cell>
          <cell r="DN30">
            <v>21</v>
          </cell>
          <cell r="DO30">
            <v>29</v>
          </cell>
          <cell r="DP30">
            <v>21</v>
          </cell>
          <cell r="DQ30">
            <v>1</v>
          </cell>
          <cell r="DR30">
            <v>0</v>
          </cell>
          <cell r="DS30">
            <v>1</v>
          </cell>
          <cell r="DT30">
            <v>0</v>
          </cell>
          <cell r="DU30">
            <v>1</v>
          </cell>
          <cell r="DV30">
            <v>2</v>
          </cell>
          <cell r="DW30">
            <v>0</v>
          </cell>
          <cell r="DX30">
            <v>1</v>
          </cell>
          <cell r="DY30">
            <v>2</v>
          </cell>
          <cell r="DZ30">
            <v>2</v>
          </cell>
          <cell r="EA30">
            <v>1</v>
          </cell>
          <cell r="EB30">
            <v>2</v>
          </cell>
          <cell r="EC30">
            <v>2</v>
          </cell>
          <cell r="ED30">
            <v>1</v>
          </cell>
          <cell r="EE30">
            <v>1</v>
          </cell>
          <cell r="EF30">
            <v>1</v>
          </cell>
          <cell r="EG30">
            <v>1</v>
          </cell>
          <cell r="EH30">
            <v>1</v>
          </cell>
          <cell r="EI30">
            <v>0</v>
          </cell>
          <cell r="EJ30">
            <v>0</v>
          </cell>
          <cell r="EK30">
            <v>1</v>
          </cell>
          <cell r="EL30">
            <v>3</v>
          </cell>
          <cell r="EM30">
            <v>9</v>
          </cell>
          <cell r="EN30">
            <v>9</v>
          </cell>
          <cell r="EO30">
            <v>21</v>
          </cell>
          <cell r="EP30">
            <v>5</v>
          </cell>
          <cell r="EQ30">
            <v>2</v>
          </cell>
          <cell r="ER30">
            <v>2</v>
          </cell>
          <cell r="ES30">
            <v>2</v>
          </cell>
          <cell r="ET30">
            <v>3</v>
          </cell>
          <cell r="EU30">
            <v>2</v>
          </cell>
          <cell r="EV30">
            <v>2</v>
          </cell>
          <cell r="EW30">
            <v>2</v>
          </cell>
          <cell r="EX30">
            <v>1</v>
          </cell>
          <cell r="EY30">
            <v>5</v>
          </cell>
          <cell r="EZ30">
            <v>5</v>
          </cell>
          <cell r="FA30">
            <v>2</v>
          </cell>
          <cell r="FB30">
            <v>2</v>
          </cell>
          <cell r="FC30">
            <v>1</v>
          </cell>
          <cell r="FD30">
            <v>2</v>
          </cell>
          <cell r="FE30">
            <v>2</v>
          </cell>
          <cell r="FF30">
            <v>2</v>
          </cell>
          <cell r="FG30">
            <v>42</v>
          </cell>
          <cell r="FH30">
            <v>1</v>
          </cell>
          <cell r="FI30">
            <v>4</v>
          </cell>
          <cell r="FJ30">
            <v>1</v>
          </cell>
          <cell r="FK30">
            <v>1</v>
          </cell>
          <cell r="FL30">
            <v>4</v>
          </cell>
          <cell r="FM30">
            <v>2</v>
          </cell>
          <cell r="FN30">
            <v>1</v>
          </cell>
          <cell r="FO30">
            <v>2</v>
          </cell>
          <cell r="FP30">
            <v>3</v>
          </cell>
          <cell r="FQ30">
            <v>2</v>
          </cell>
          <cell r="FR30">
            <v>3</v>
          </cell>
          <cell r="FS30">
            <v>2</v>
          </cell>
          <cell r="FT30">
            <v>1</v>
          </cell>
          <cell r="FU30">
            <v>3</v>
          </cell>
          <cell r="FV30">
            <v>2</v>
          </cell>
          <cell r="FW30">
            <v>3</v>
          </cell>
          <cell r="FX30">
            <v>2</v>
          </cell>
          <cell r="FY30">
            <v>2</v>
          </cell>
          <cell r="FZ30">
            <v>4</v>
          </cell>
          <cell r="GA30">
            <v>1</v>
          </cell>
          <cell r="GB30">
            <v>1</v>
          </cell>
          <cell r="GC30">
            <v>28</v>
          </cell>
        </row>
        <row r="31">
          <cell r="A31">
            <v>890</v>
          </cell>
          <cell r="B31">
            <v>0</v>
          </cell>
          <cell r="C31">
            <v>43</v>
          </cell>
          <cell r="D31">
            <v>1</v>
          </cell>
          <cell r="E31" t="str">
            <v xml:space="preserve"> </v>
          </cell>
          <cell r="F31">
            <v>1</v>
          </cell>
          <cell r="G31">
            <v>1</v>
          </cell>
          <cell r="H31">
            <v>2</v>
          </cell>
          <cell r="I31">
            <v>2</v>
          </cell>
          <cell r="J31" t="str">
            <v>IT Specialist</v>
          </cell>
          <cell r="K31">
            <v>2</v>
          </cell>
          <cell r="L31">
            <v>5</v>
          </cell>
          <cell r="M31" t="str">
            <v xml:space="preserve"> </v>
          </cell>
          <cell r="N31" t="str">
            <v>5' 10"</v>
          </cell>
          <cell r="O31">
            <v>217</v>
          </cell>
          <cell r="P31" t="str">
            <v>Cetirizine HCl 10 MG Oral Tablet - TAKE 1 TABLET DAILY  D3 5000 - One pill per day  DULOXETINE HCL D</v>
          </cell>
          <cell r="Q31" t="str">
            <v xml:space="preserve"> </v>
          </cell>
          <cell r="R31" t="str">
            <v xml:space="preserve"> </v>
          </cell>
          <cell r="S31" t="str">
            <v xml:space="preserve"> </v>
          </cell>
          <cell r="T31">
            <v>0</v>
          </cell>
          <cell r="U31" t="str">
            <v xml:space="preserve"> </v>
          </cell>
          <cell r="V31" t="str">
            <v xml:space="preserve"> </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t="str">
            <v xml:space="preserve"> </v>
          </cell>
          <cell r="AR31">
            <v>0</v>
          </cell>
          <cell r="AS31">
            <v>0</v>
          </cell>
          <cell r="AT31">
            <v>0</v>
          </cell>
          <cell r="AU31">
            <v>0</v>
          </cell>
          <cell r="AV31">
            <v>0</v>
          </cell>
          <cell r="AW31">
            <v>0</v>
          </cell>
          <cell r="AX31">
            <v>0</v>
          </cell>
          <cell r="AY31">
            <v>0</v>
          </cell>
          <cell r="AZ31">
            <v>0</v>
          </cell>
          <cell r="BA31">
            <v>2</v>
          </cell>
          <cell r="BB31">
            <v>2</v>
          </cell>
          <cell r="BC31">
            <v>0</v>
          </cell>
          <cell r="BD31">
            <v>3</v>
          </cell>
          <cell r="BE31">
            <v>1</v>
          </cell>
          <cell r="BF31">
            <v>0</v>
          </cell>
          <cell r="BG31">
            <v>7</v>
          </cell>
          <cell r="BH31">
            <v>4</v>
          </cell>
          <cell r="BI31">
            <v>0</v>
          </cell>
          <cell r="BJ31">
            <v>10</v>
          </cell>
          <cell r="BK31">
            <v>0</v>
          </cell>
          <cell r="BL31">
            <v>600</v>
          </cell>
          <cell r="BM31">
            <v>5544</v>
          </cell>
          <cell r="BN31">
            <v>720</v>
          </cell>
          <cell r="BO31">
            <v>1920</v>
          </cell>
          <cell r="BP31">
            <v>8184</v>
          </cell>
          <cell r="BQ31">
            <v>3</v>
          </cell>
          <cell r="BR31">
            <v>7</v>
          </cell>
          <cell r="BS31">
            <v>7</v>
          </cell>
          <cell r="BT31">
            <v>7</v>
          </cell>
          <cell r="BU31">
            <v>7</v>
          </cell>
          <cell r="BV31">
            <v>7</v>
          </cell>
          <cell r="BW31">
            <v>6</v>
          </cell>
          <cell r="BX31">
            <v>7</v>
          </cell>
          <cell r="BY31">
            <v>7</v>
          </cell>
          <cell r="BZ31">
            <v>7</v>
          </cell>
          <cell r="CA31">
            <v>7</v>
          </cell>
          <cell r="CB31">
            <v>7</v>
          </cell>
          <cell r="CC31">
            <v>7</v>
          </cell>
          <cell r="CD31">
            <v>7</v>
          </cell>
          <cell r="CE31">
            <v>7</v>
          </cell>
          <cell r="CF31">
            <v>6.75</v>
          </cell>
          <cell r="CG31">
            <v>6.9166666670000003</v>
          </cell>
          <cell r="CH31">
            <v>9</v>
          </cell>
          <cell r="CI31">
            <v>9</v>
          </cell>
          <cell r="CJ31">
            <v>8</v>
          </cell>
          <cell r="CK31">
            <v>9</v>
          </cell>
          <cell r="CL31">
            <v>7</v>
          </cell>
          <cell r="CM31">
            <v>9</v>
          </cell>
          <cell r="CN31">
            <v>5</v>
          </cell>
          <cell r="CO31">
            <v>9</v>
          </cell>
          <cell r="CP31">
            <v>8</v>
          </cell>
          <cell r="CQ31">
            <v>9</v>
          </cell>
          <cell r="CR31">
            <v>9</v>
          </cell>
          <cell r="CS31">
            <v>9</v>
          </cell>
          <cell r="CT31">
            <v>8</v>
          </cell>
          <cell r="CU31">
            <v>6</v>
          </cell>
          <cell r="CV31">
            <v>9</v>
          </cell>
          <cell r="CW31">
            <v>9</v>
          </cell>
          <cell r="CX31">
            <v>9</v>
          </cell>
          <cell r="CY31">
            <v>9</v>
          </cell>
          <cell r="CZ31">
            <v>9</v>
          </cell>
          <cell r="DA31">
            <v>8</v>
          </cell>
          <cell r="DB31">
            <v>4</v>
          </cell>
          <cell r="DC31">
            <v>171</v>
          </cell>
          <cell r="DD31">
            <v>26</v>
          </cell>
          <cell r="DE31">
            <v>26</v>
          </cell>
          <cell r="DF31">
            <v>17</v>
          </cell>
          <cell r="DG31">
            <v>27</v>
          </cell>
          <cell r="DH31">
            <v>24</v>
          </cell>
          <cell r="DI31">
            <v>24</v>
          </cell>
          <cell r="DJ31">
            <v>27</v>
          </cell>
          <cell r="DK31">
            <v>24</v>
          </cell>
          <cell r="DL31">
            <v>30</v>
          </cell>
          <cell r="DM31">
            <v>30</v>
          </cell>
          <cell r="DN31">
            <v>27</v>
          </cell>
          <cell r="DO31">
            <v>35</v>
          </cell>
          <cell r="DP31">
            <v>25</v>
          </cell>
          <cell r="DQ31">
            <v>0</v>
          </cell>
          <cell r="DR31">
            <v>0</v>
          </cell>
          <cell r="DS31">
            <v>0</v>
          </cell>
          <cell r="DT31">
            <v>0</v>
          </cell>
          <cell r="DU31">
            <v>1</v>
          </cell>
          <cell r="DV31">
            <v>1</v>
          </cell>
          <cell r="DW31">
            <v>0</v>
          </cell>
          <cell r="DX31">
            <v>0</v>
          </cell>
          <cell r="DY31">
            <v>0</v>
          </cell>
          <cell r="DZ31">
            <v>0</v>
          </cell>
          <cell r="EA31">
            <v>1</v>
          </cell>
          <cell r="EB31">
            <v>0</v>
          </cell>
          <cell r="EC31">
            <v>1</v>
          </cell>
          <cell r="ED31">
            <v>1</v>
          </cell>
          <cell r="EE31">
            <v>0</v>
          </cell>
          <cell r="EF31">
            <v>0</v>
          </cell>
          <cell r="EG31">
            <v>0</v>
          </cell>
          <cell r="EH31">
            <v>1</v>
          </cell>
          <cell r="EI31">
            <v>0</v>
          </cell>
          <cell r="EJ31">
            <v>0</v>
          </cell>
          <cell r="EK31">
            <v>0</v>
          </cell>
          <cell r="EL31">
            <v>0</v>
          </cell>
          <cell r="EM31">
            <v>2</v>
          </cell>
          <cell r="EN31">
            <v>4</v>
          </cell>
          <cell r="EO31">
            <v>6</v>
          </cell>
          <cell r="EP31">
            <v>5</v>
          </cell>
          <cell r="EQ31">
            <v>5</v>
          </cell>
          <cell r="ER31">
            <v>3</v>
          </cell>
          <cell r="ES31">
            <v>5</v>
          </cell>
          <cell r="ET31">
            <v>5</v>
          </cell>
          <cell r="EU31">
            <v>5</v>
          </cell>
          <cell r="EV31">
            <v>5</v>
          </cell>
          <cell r="EW31">
            <v>5</v>
          </cell>
          <cell r="EX31">
            <v>5</v>
          </cell>
          <cell r="EY31">
            <v>5</v>
          </cell>
          <cell r="EZ31">
            <v>5</v>
          </cell>
          <cell r="FA31">
            <v>2</v>
          </cell>
          <cell r="FB31">
            <v>5</v>
          </cell>
          <cell r="FC31">
            <v>4</v>
          </cell>
          <cell r="FD31">
            <v>4</v>
          </cell>
          <cell r="FE31">
            <v>5</v>
          </cell>
          <cell r="FF31">
            <v>2</v>
          </cell>
          <cell r="FG31">
            <v>75</v>
          </cell>
          <cell r="FH31">
            <v>4</v>
          </cell>
          <cell r="FI31">
            <v>1</v>
          </cell>
          <cell r="FJ31">
            <v>1</v>
          </cell>
          <cell r="FK31">
            <v>4</v>
          </cell>
          <cell r="FL31">
            <v>1</v>
          </cell>
          <cell r="FM31">
            <v>1</v>
          </cell>
          <cell r="FN31">
            <v>1</v>
          </cell>
          <cell r="FO31">
            <v>3</v>
          </cell>
          <cell r="FP31">
            <v>2</v>
          </cell>
          <cell r="FQ31">
            <v>1</v>
          </cell>
          <cell r="FR31">
            <v>4</v>
          </cell>
          <cell r="FS31">
            <v>1</v>
          </cell>
          <cell r="FT31">
            <v>2</v>
          </cell>
          <cell r="FU31">
            <v>4</v>
          </cell>
          <cell r="FV31">
            <v>1</v>
          </cell>
          <cell r="FW31">
            <v>3</v>
          </cell>
          <cell r="FX31">
            <v>2</v>
          </cell>
          <cell r="FY31">
            <v>1</v>
          </cell>
          <cell r="FZ31">
            <v>4</v>
          </cell>
          <cell r="GA31">
            <v>1</v>
          </cell>
          <cell r="GB31">
            <v>1</v>
          </cell>
          <cell r="GC31">
            <v>17</v>
          </cell>
        </row>
        <row r="32">
          <cell r="A32">
            <v>894</v>
          </cell>
          <cell r="B32">
            <v>0</v>
          </cell>
          <cell r="C32">
            <v>21</v>
          </cell>
          <cell r="D32">
            <v>0</v>
          </cell>
          <cell r="E32" t="str">
            <v xml:space="preserve"> </v>
          </cell>
          <cell r="F32">
            <v>5</v>
          </cell>
          <cell r="G32">
            <v>0</v>
          </cell>
          <cell r="H32" t="str">
            <v xml:space="preserve"> </v>
          </cell>
          <cell r="I32">
            <v>5</v>
          </cell>
          <cell r="J32" t="str">
            <v>Nurse Aide and Waitress</v>
          </cell>
          <cell r="K32">
            <v>2</v>
          </cell>
          <cell r="L32">
            <v>5</v>
          </cell>
          <cell r="M32" t="str">
            <v xml:space="preserve"> </v>
          </cell>
          <cell r="N32" t="str">
            <v>5'4</v>
          </cell>
          <cell r="O32">
            <v>155</v>
          </cell>
          <cell r="P32" t="str">
            <v>Birth Control - one pill a day</v>
          </cell>
          <cell r="Q32" t="str">
            <v xml:space="preserve"> </v>
          </cell>
          <cell r="R32">
            <v>0</v>
          </cell>
          <cell r="S32" t="str">
            <v xml:space="preserve"> </v>
          </cell>
          <cell r="T32">
            <v>0</v>
          </cell>
          <cell r="U32" t="str">
            <v xml:space="preserve"> </v>
          </cell>
          <cell r="V32" t="str">
            <v xml:space="preserve"> </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t="str">
            <v xml:space="preserve"> </v>
          </cell>
          <cell r="AR32">
            <v>0</v>
          </cell>
          <cell r="AS32">
            <v>0</v>
          </cell>
          <cell r="AT32">
            <v>0</v>
          </cell>
          <cell r="AU32">
            <v>0</v>
          </cell>
          <cell r="AV32">
            <v>0</v>
          </cell>
          <cell r="AW32">
            <v>0</v>
          </cell>
          <cell r="AX32">
            <v>0</v>
          </cell>
          <cell r="AY32">
            <v>0</v>
          </cell>
          <cell r="AZ32">
            <v>0</v>
          </cell>
          <cell r="BA32">
            <v>0</v>
          </cell>
          <cell r="BB32" t="str">
            <v xml:space="preserve"> </v>
          </cell>
          <cell r="BC32" t="str">
            <v xml:space="preserve"> </v>
          </cell>
          <cell r="BD32">
            <v>1</v>
          </cell>
          <cell r="BE32">
            <v>1</v>
          </cell>
          <cell r="BF32">
            <v>0</v>
          </cell>
          <cell r="BG32">
            <v>5</v>
          </cell>
          <cell r="BH32">
            <v>0</v>
          </cell>
          <cell r="BI32">
            <v>15</v>
          </cell>
          <cell r="BJ32">
            <v>2</v>
          </cell>
          <cell r="BK32">
            <v>0</v>
          </cell>
          <cell r="BL32">
            <v>120</v>
          </cell>
          <cell r="BM32">
            <v>247.5</v>
          </cell>
          <cell r="BN32">
            <v>240</v>
          </cell>
          <cell r="BO32">
            <v>0</v>
          </cell>
          <cell r="BP32">
            <v>487.5</v>
          </cell>
          <cell r="BQ32">
            <v>1</v>
          </cell>
          <cell r="BR32">
            <v>4</v>
          </cell>
          <cell r="BS32">
            <v>3</v>
          </cell>
          <cell r="BT32">
            <v>6</v>
          </cell>
          <cell r="BU32">
            <v>6</v>
          </cell>
          <cell r="BV32">
            <v>4</v>
          </cell>
          <cell r="BW32">
            <v>5</v>
          </cell>
          <cell r="BX32">
            <v>6</v>
          </cell>
          <cell r="BY32">
            <v>5</v>
          </cell>
          <cell r="BZ32">
            <v>6</v>
          </cell>
          <cell r="CA32">
            <v>5</v>
          </cell>
          <cell r="CB32">
            <v>6</v>
          </cell>
          <cell r="CC32">
            <v>6</v>
          </cell>
          <cell r="CD32">
            <v>4</v>
          </cell>
          <cell r="CE32">
            <v>5.75</v>
          </cell>
          <cell r="CF32">
            <v>5.75</v>
          </cell>
          <cell r="CG32">
            <v>5.1666666670000003</v>
          </cell>
          <cell r="CH32">
            <v>3</v>
          </cell>
          <cell r="CI32">
            <v>8</v>
          </cell>
          <cell r="CJ32">
            <v>5</v>
          </cell>
          <cell r="CK32">
            <v>5</v>
          </cell>
          <cell r="CL32">
            <v>7</v>
          </cell>
          <cell r="CM32">
            <v>6</v>
          </cell>
          <cell r="CN32">
            <v>5</v>
          </cell>
          <cell r="CO32">
            <v>5</v>
          </cell>
          <cell r="CP32">
            <v>5</v>
          </cell>
          <cell r="CQ32">
            <v>5</v>
          </cell>
          <cell r="CR32">
            <v>7</v>
          </cell>
          <cell r="CS32">
            <v>7</v>
          </cell>
          <cell r="CT32">
            <v>7</v>
          </cell>
          <cell r="CU32">
            <v>7</v>
          </cell>
          <cell r="CV32">
            <v>7</v>
          </cell>
          <cell r="CW32">
            <v>6</v>
          </cell>
          <cell r="CX32">
            <v>7</v>
          </cell>
          <cell r="CY32">
            <v>7</v>
          </cell>
          <cell r="CZ32">
            <v>6</v>
          </cell>
          <cell r="DA32">
            <v>7</v>
          </cell>
          <cell r="DB32">
            <v>6</v>
          </cell>
          <cell r="DC32">
            <v>128</v>
          </cell>
          <cell r="DD32">
            <v>14</v>
          </cell>
          <cell r="DE32">
            <v>20</v>
          </cell>
          <cell r="DF32">
            <v>16</v>
          </cell>
          <cell r="DG32">
            <v>17</v>
          </cell>
          <cell r="DH32">
            <v>22</v>
          </cell>
          <cell r="DI32">
            <v>19</v>
          </cell>
          <cell r="DJ32">
            <v>20</v>
          </cell>
          <cell r="DK32">
            <v>19</v>
          </cell>
          <cell r="DL32">
            <v>23</v>
          </cell>
          <cell r="DM32">
            <v>28</v>
          </cell>
          <cell r="DN32">
            <v>18</v>
          </cell>
          <cell r="DO32">
            <v>21</v>
          </cell>
          <cell r="DP32">
            <v>19</v>
          </cell>
          <cell r="DQ32">
            <v>0</v>
          </cell>
          <cell r="DR32">
            <v>0</v>
          </cell>
          <cell r="DS32">
            <v>0</v>
          </cell>
          <cell r="DT32">
            <v>0</v>
          </cell>
          <cell r="DU32">
            <v>0</v>
          </cell>
          <cell r="DV32">
            <v>0</v>
          </cell>
          <cell r="DW32">
            <v>0</v>
          </cell>
          <cell r="DX32">
            <v>0</v>
          </cell>
          <cell r="DY32">
            <v>0</v>
          </cell>
          <cell r="DZ32">
            <v>0</v>
          </cell>
          <cell r="EA32">
            <v>0</v>
          </cell>
          <cell r="EB32">
            <v>0</v>
          </cell>
          <cell r="EC32">
            <v>0</v>
          </cell>
          <cell r="ED32">
            <v>0</v>
          </cell>
          <cell r="EE32">
            <v>0</v>
          </cell>
          <cell r="EF32">
            <v>0</v>
          </cell>
          <cell r="EG32">
            <v>0</v>
          </cell>
          <cell r="EH32">
            <v>0</v>
          </cell>
          <cell r="EI32">
            <v>0</v>
          </cell>
          <cell r="EJ32">
            <v>0</v>
          </cell>
          <cell r="EK32">
            <v>0</v>
          </cell>
          <cell r="EL32">
            <v>0</v>
          </cell>
          <cell r="EM32">
            <v>0</v>
          </cell>
          <cell r="EN32">
            <v>0</v>
          </cell>
          <cell r="EO32">
            <v>0</v>
          </cell>
          <cell r="EP32">
            <v>5</v>
          </cell>
          <cell r="EQ32">
            <v>5</v>
          </cell>
          <cell r="ER32">
            <v>3</v>
          </cell>
          <cell r="ES32">
            <v>5</v>
          </cell>
          <cell r="ET32">
            <v>5</v>
          </cell>
          <cell r="EU32">
            <v>5</v>
          </cell>
          <cell r="EV32">
            <v>5</v>
          </cell>
          <cell r="EW32">
            <v>5</v>
          </cell>
          <cell r="EX32">
            <v>5</v>
          </cell>
          <cell r="EY32">
            <v>5</v>
          </cell>
          <cell r="EZ32">
            <v>5</v>
          </cell>
          <cell r="FA32">
            <v>3</v>
          </cell>
          <cell r="FB32">
            <v>5</v>
          </cell>
          <cell r="FC32">
            <v>4</v>
          </cell>
          <cell r="FD32">
            <v>4</v>
          </cell>
          <cell r="FE32">
            <v>5</v>
          </cell>
          <cell r="FF32">
            <v>5</v>
          </cell>
          <cell r="FG32">
            <v>79</v>
          </cell>
          <cell r="FH32">
            <v>3</v>
          </cell>
          <cell r="FI32">
            <v>2</v>
          </cell>
          <cell r="FJ32">
            <v>1</v>
          </cell>
          <cell r="FK32">
            <v>4</v>
          </cell>
          <cell r="FL32">
            <v>1</v>
          </cell>
          <cell r="FM32">
            <v>1</v>
          </cell>
          <cell r="FN32">
            <v>2</v>
          </cell>
          <cell r="FO32">
            <v>3</v>
          </cell>
          <cell r="FP32">
            <v>2</v>
          </cell>
          <cell r="FQ32">
            <v>1</v>
          </cell>
          <cell r="FR32">
            <v>3</v>
          </cell>
          <cell r="FS32">
            <v>2</v>
          </cell>
          <cell r="FT32">
            <v>2</v>
          </cell>
          <cell r="FU32">
            <v>3</v>
          </cell>
          <cell r="FV32">
            <v>2</v>
          </cell>
          <cell r="FW32">
            <v>3</v>
          </cell>
          <cell r="FX32">
            <v>2</v>
          </cell>
          <cell r="FY32">
            <v>2</v>
          </cell>
          <cell r="FZ32">
            <v>3</v>
          </cell>
          <cell r="GA32">
            <v>2</v>
          </cell>
          <cell r="GB32">
            <v>2</v>
          </cell>
          <cell r="GC32">
            <v>24</v>
          </cell>
        </row>
        <row r="33">
          <cell r="A33">
            <v>895</v>
          </cell>
          <cell r="B33">
            <v>0</v>
          </cell>
          <cell r="C33">
            <v>55</v>
          </cell>
          <cell r="D33">
            <v>0</v>
          </cell>
          <cell r="E33" t="str">
            <v xml:space="preserve"> </v>
          </cell>
          <cell r="F33">
            <v>1</v>
          </cell>
          <cell r="G33">
            <v>1</v>
          </cell>
          <cell r="H33">
            <v>4</v>
          </cell>
          <cell r="I33">
            <v>2</v>
          </cell>
          <cell r="J33" t="str">
            <v>Project Manager</v>
          </cell>
          <cell r="K33">
            <v>2</v>
          </cell>
          <cell r="L33">
            <v>5</v>
          </cell>
          <cell r="M33" t="str">
            <v xml:space="preserve"> </v>
          </cell>
          <cell r="N33" t="str">
            <v>5'3"</v>
          </cell>
          <cell r="O33">
            <v>155</v>
          </cell>
          <cell r="P33" t="str">
            <v>NONE</v>
          </cell>
          <cell r="Q33">
            <v>41821</v>
          </cell>
          <cell r="R33">
            <v>1</v>
          </cell>
          <cell r="S33">
            <v>0</v>
          </cell>
          <cell r="T33">
            <v>0</v>
          </cell>
          <cell r="U33" t="str">
            <v xml:space="preserve"> </v>
          </cell>
          <cell r="V33" t="str">
            <v xml:space="preserve"> </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t="str">
            <v xml:space="preserve"> </v>
          </cell>
          <cell r="AR33">
            <v>0</v>
          </cell>
          <cell r="AS33">
            <v>0</v>
          </cell>
          <cell r="AT33">
            <v>0</v>
          </cell>
          <cell r="AU33">
            <v>0</v>
          </cell>
          <cell r="AV33">
            <v>0</v>
          </cell>
          <cell r="AW33">
            <v>0</v>
          </cell>
          <cell r="AX33">
            <v>1</v>
          </cell>
          <cell r="AY33">
            <v>0</v>
          </cell>
          <cell r="AZ33">
            <v>0</v>
          </cell>
          <cell r="BA33">
            <v>0</v>
          </cell>
          <cell r="BB33" t="str">
            <v xml:space="preserve"> </v>
          </cell>
          <cell r="BC33" t="str">
            <v xml:space="preserve"> </v>
          </cell>
          <cell r="BD33">
            <v>0</v>
          </cell>
          <cell r="BE33" t="str">
            <v xml:space="preserve"> </v>
          </cell>
          <cell r="BF33" t="str">
            <v xml:space="preserve"> </v>
          </cell>
          <cell r="BG33">
            <v>5</v>
          </cell>
          <cell r="BH33">
            <v>3</v>
          </cell>
          <cell r="BI33">
            <v>0</v>
          </cell>
          <cell r="BJ33">
            <v>9</v>
          </cell>
          <cell r="BK33">
            <v>0</v>
          </cell>
          <cell r="BL33">
            <v>540</v>
          </cell>
          <cell r="BM33">
            <v>2970</v>
          </cell>
          <cell r="BN33">
            <v>0</v>
          </cell>
          <cell r="BO33">
            <v>0</v>
          </cell>
          <cell r="BP33">
            <v>2970</v>
          </cell>
          <cell r="BQ33">
            <v>2</v>
          </cell>
          <cell r="BR33">
            <v>6</v>
          </cell>
          <cell r="BS33">
            <v>6</v>
          </cell>
          <cell r="BT33">
            <v>6</v>
          </cell>
          <cell r="BU33">
            <v>6</v>
          </cell>
          <cell r="BV33">
            <v>6</v>
          </cell>
          <cell r="BW33">
            <v>6</v>
          </cell>
          <cell r="BX33">
            <v>6</v>
          </cell>
          <cell r="BY33">
            <v>6</v>
          </cell>
          <cell r="BZ33">
            <v>6</v>
          </cell>
          <cell r="CA33">
            <v>6</v>
          </cell>
          <cell r="CB33">
            <v>6</v>
          </cell>
          <cell r="CC33">
            <v>6</v>
          </cell>
          <cell r="CD33">
            <v>6</v>
          </cell>
          <cell r="CE33">
            <v>6</v>
          </cell>
          <cell r="CF33">
            <v>6</v>
          </cell>
          <cell r="CG33">
            <v>6</v>
          </cell>
          <cell r="CH33">
            <v>3</v>
          </cell>
          <cell r="CI33">
            <v>8</v>
          </cell>
          <cell r="CJ33">
            <v>7</v>
          </cell>
          <cell r="CK33">
            <v>8</v>
          </cell>
          <cell r="CL33">
            <v>7</v>
          </cell>
          <cell r="CM33">
            <v>8</v>
          </cell>
          <cell r="CN33">
            <v>8</v>
          </cell>
          <cell r="CO33">
            <v>7</v>
          </cell>
          <cell r="CP33">
            <v>6</v>
          </cell>
          <cell r="CQ33">
            <v>7</v>
          </cell>
          <cell r="CR33">
            <v>8</v>
          </cell>
          <cell r="CS33">
            <v>8</v>
          </cell>
          <cell r="CT33">
            <v>8</v>
          </cell>
          <cell r="CU33">
            <v>8</v>
          </cell>
          <cell r="CV33">
            <v>7</v>
          </cell>
          <cell r="CW33">
            <v>6</v>
          </cell>
          <cell r="CX33">
            <v>8</v>
          </cell>
          <cell r="CY33">
            <v>8</v>
          </cell>
          <cell r="CZ33">
            <v>8</v>
          </cell>
          <cell r="DA33">
            <v>8</v>
          </cell>
          <cell r="DB33">
            <v>7</v>
          </cell>
          <cell r="DC33">
            <v>153</v>
          </cell>
          <cell r="DD33">
            <v>15</v>
          </cell>
          <cell r="DE33">
            <v>24</v>
          </cell>
          <cell r="DF33">
            <v>22</v>
          </cell>
          <cell r="DG33">
            <v>21</v>
          </cell>
          <cell r="DH33">
            <v>23</v>
          </cell>
          <cell r="DI33">
            <v>24</v>
          </cell>
          <cell r="DJ33">
            <v>24</v>
          </cell>
          <cell r="DK33">
            <v>24</v>
          </cell>
          <cell r="DL33">
            <v>30</v>
          </cell>
          <cell r="DM33">
            <v>30</v>
          </cell>
          <cell r="DN33">
            <v>21</v>
          </cell>
          <cell r="DO33">
            <v>26</v>
          </cell>
          <cell r="DP33">
            <v>22</v>
          </cell>
          <cell r="DQ33">
            <v>0</v>
          </cell>
          <cell r="DR33">
            <v>0</v>
          </cell>
          <cell r="DS33">
            <v>0</v>
          </cell>
          <cell r="DT33">
            <v>0</v>
          </cell>
          <cell r="DU33">
            <v>0</v>
          </cell>
          <cell r="DV33">
            <v>0</v>
          </cell>
          <cell r="DW33">
            <v>0</v>
          </cell>
          <cell r="DX33">
            <v>0</v>
          </cell>
          <cell r="DY33">
            <v>0</v>
          </cell>
          <cell r="DZ33">
            <v>0</v>
          </cell>
          <cell r="EA33">
            <v>0</v>
          </cell>
          <cell r="EB33">
            <v>0</v>
          </cell>
          <cell r="EC33">
            <v>0</v>
          </cell>
          <cell r="ED33">
            <v>0</v>
          </cell>
          <cell r="EE33">
            <v>0</v>
          </cell>
          <cell r="EF33">
            <v>0</v>
          </cell>
          <cell r="EG33">
            <v>0</v>
          </cell>
          <cell r="EH33">
            <v>0</v>
          </cell>
          <cell r="EI33">
            <v>0</v>
          </cell>
          <cell r="EJ33">
            <v>0</v>
          </cell>
          <cell r="EK33">
            <v>0</v>
          </cell>
          <cell r="EL33">
            <v>0</v>
          </cell>
          <cell r="EM33">
            <v>0</v>
          </cell>
          <cell r="EN33">
            <v>0</v>
          </cell>
          <cell r="EO33">
            <v>0</v>
          </cell>
          <cell r="EP33">
            <v>5</v>
          </cell>
          <cell r="EQ33">
            <v>5</v>
          </cell>
          <cell r="ER33">
            <v>1</v>
          </cell>
          <cell r="ES33">
            <v>5</v>
          </cell>
          <cell r="ET33">
            <v>5</v>
          </cell>
          <cell r="EU33">
            <v>5</v>
          </cell>
          <cell r="EV33">
            <v>5</v>
          </cell>
          <cell r="EW33">
            <v>5</v>
          </cell>
          <cell r="EX33">
            <v>5</v>
          </cell>
          <cell r="EY33">
            <v>5</v>
          </cell>
          <cell r="EZ33">
            <v>5</v>
          </cell>
          <cell r="FA33">
            <v>5</v>
          </cell>
          <cell r="FB33">
            <v>5</v>
          </cell>
          <cell r="FC33">
            <v>4</v>
          </cell>
          <cell r="FD33">
            <v>4</v>
          </cell>
          <cell r="FE33">
            <v>5</v>
          </cell>
          <cell r="FF33">
            <v>5</v>
          </cell>
          <cell r="FG33">
            <v>79</v>
          </cell>
          <cell r="FH33">
            <v>4</v>
          </cell>
          <cell r="FI33">
            <v>1</v>
          </cell>
          <cell r="FJ33">
            <v>1</v>
          </cell>
          <cell r="FK33">
            <v>4</v>
          </cell>
          <cell r="FL33">
            <v>1</v>
          </cell>
          <cell r="FM33">
            <v>2</v>
          </cell>
          <cell r="FN33">
            <v>1</v>
          </cell>
          <cell r="FO33">
            <v>4</v>
          </cell>
          <cell r="FP33">
            <v>1</v>
          </cell>
          <cell r="FQ33">
            <v>1</v>
          </cell>
          <cell r="FR33">
            <v>4</v>
          </cell>
          <cell r="FS33">
            <v>1</v>
          </cell>
          <cell r="FT33">
            <v>1</v>
          </cell>
          <cell r="FU33">
            <v>4</v>
          </cell>
          <cell r="FV33">
            <v>1</v>
          </cell>
          <cell r="FW33">
            <v>4</v>
          </cell>
          <cell r="FX33">
            <v>1</v>
          </cell>
          <cell r="FY33">
            <v>1</v>
          </cell>
          <cell r="FZ33">
            <v>4</v>
          </cell>
          <cell r="GA33">
            <v>1</v>
          </cell>
          <cell r="GB33">
            <v>1</v>
          </cell>
          <cell r="GC33">
            <v>15</v>
          </cell>
        </row>
        <row r="34">
          <cell r="A34">
            <v>899</v>
          </cell>
          <cell r="B34">
            <v>0</v>
          </cell>
          <cell r="C34">
            <v>52</v>
          </cell>
          <cell r="D34">
            <v>0</v>
          </cell>
          <cell r="E34" t="str">
            <v xml:space="preserve"> </v>
          </cell>
          <cell r="F34">
            <v>3</v>
          </cell>
          <cell r="G34">
            <v>1</v>
          </cell>
          <cell r="H34">
            <v>3</v>
          </cell>
          <cell r="I34">
            <v>2</v>
          </cell>
          <cell r="J34" t="str">
            <v>CRNP</v>
          </cell>
          <cell r="K34">
            <v>2</v>
          </cell>
          <cell r="L34">
            <v>5</v>
          </cell>
          <cell r="M34" t="str">
            <v xml:space="preserve"> </v>
          </cell>
          <cell r="N34" t="str">
            <v>5'10"</v>
          </cell>
          <cell r="O34">
            <v>141</v>
          </cell>
          <cell r="P34" t="str">
            <v>Imitrex 25mg PRN migraine  vitamins</v>
          </cell>
          <cell r="Q34">
            <v>44629</v>
          </cell>
          <cell r="R34">
            <v>1</v>
          </cell>
          <cell r="S34">
            <v>3</v>
          </cell>
          <cell r="T34">
            <v>0</v>
          </cell>
          <cell r="U34" t="str">
            <v xml:space="preserve"> </v>
          </cell>
          <cell r="V34" t="str">
            <v xml:space="preserve"> </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t="str">
            <v xml:space="preserve"> </v>
          </cell>
          <cell r="AR34">
            <v>0</v>
          </cell>
          <cell r="AS34">
            <v>0</v>
          </cell>
          <cell r="AT34">
            <v>0</v>
          </cell>
          <cell r="AU34">
            <v>0</v>
          </cell>
          <cell r="AV34">
            <v>0</v>
          </cell>
          <cell r="AW34">
            <v>0</v>
          </cell>
          <cell r="AX34">
            <v>0</v>
          </cell>
          <cell r="AY34">
            <v>0</v>
          </cell>
          <cell r="AZ34">
            <v>2</v>
          </cell>
          <cell r="BA34">
            <v>1</v>
          </cell>
          <cell r="BB34">
            <v>2</v>
          </cell>
          <cell r="BC34">
            <v>30</v>
          </cell>
          <cell r="BD34">
            <v>7</v>
          </cell>
          <cell r="BE34">
            <v>1</v>
          </cell>
          <cell r="BF34">
            <v>30</v>
          </cell>
          <cell r="BG34">
            <v>7</v>
          </cell>
          <cell r="BH34">
            <v>1</v>
          </cell>
          <cell r="BI34">
            <v>30</v>
          </cell>
          <cell r="BJ34">
            <v>3</v>
          </cell>
          <cell r="BK34">
            <v>30</v>
          </cell>
          <cell r="BL34">
            <v>210</v>
          </cell>
          <cell r="BM34">
            <v>2079</v>
          </cell>
          <cell r="BN34">
            <v>2520</v>
          </cell>
          <cell r="BO34">
            <v>1200</v>
          </cell>
          <cell r="BP34">
            <v>5799</v>
          </cell>
          <cell r="BQ34">
            <v>3</v>
          </cell>
          <cell r="BR34">
            <v>7</v>
          </cell>
          <cell r="BS34">
            <v>7</v>
          </cell>
          <cell r="BT34">
            <v>6</v>
          </cell>
          <cell r="BU34">
            <v>6</v>
          </cell>
          <cell r="BV34">
            <v>7</v>
          </cell>
          <cell r="BW34">
            <v>6</v>
          </cell>
          <cell r="BX34">
            <v>6</v>
          </cell>
          <cell r="BY34">
            <v>7</v>
          </cell>
          <cell r="BZ34">
            <v>7</v>
          </cell>
          <cell r="CA34">
            <v>7</v>
          </cell>
          <cell r="CB34">
            <v>6</v>
          </cell>
          <cell r="CC34">
            <v>7</v>
          </cell>
          <cell r="CD34">
            <v>7</v>
          </cell>
          <cell r="CE34">
            <v>6.25</v>
          </cell>
          <cell r="CF34">
            <v>6.5</v>
          </cell>
          <cell r="CG34">
            <v>6.5833333329999997</v>
          </cell>
          <cell r="CH34">
            <v>7</v>
          </cell>
          <cell r="CI34">
            <v>9</v>
          </cell>
          <cell r="CJ34">
            <v>9</v>
          </cell>
          <cell r="CK34">
            <v>9</v>
          </cell>
          <cell r="CL34">
            <v>9</v>
          </cell>
          <cell r="CM34">
            <v>9</v>
          </cell>
          <cell r="CN34">
            <v>9</v>
          </cell>
          <cell r="CO34">
            <v>9</v>
          </cell>
          <cell r="CP34">
            <v>7</v>
          </cell>
          <cell r="CQ34">
            <v>9</v>
          </cell>
          <cell r="CR34">
            <v>9</v>
          </cell>
          <cell r="CS34">
            <v>9</v>
          </cell>
          <cell r="CT34">
            <v>9</v>
          </cell>
          <cell r="CU34">
            <v>8</v>
          </cell>
          <cell r="CV34">
            <v>9</v>
          </cell>
          <cell r="CW34">
            <v>7</v>
          </cell>
          <cell r="CX34">
            <v>9</v>
          </cell>
          <cell r="CY34">
            <v>9</v>
          </cell>
          <cell r="CZ34">
            <v>9</v>
          </cell>
          <cell r="DA34">
            <v>8</v>
          </cell>
          <cell r="DB34">
            <v>9</v>
          </cell>
          <cell r="DC34">
            <v>181</v>
          </cell>
          <cell r="DD34">
            <v>21</v>
          </cell>
          <cell r="DE34">
            <v>27</v>
          </cell>
          <cell r="DF34">
            <v>27</v>
          </cell>
          <cell r="DG34">
            <v>27</v>
          </cell>
          <cell r="DH34">
            <v>26</v>
          </cell>
          <cell r="DI34">
            <v>26</v>
          </cell>
          <cell r="DJ34">
            <v>27</v>
          </cell>
          <cell r="DK34">
            <v>26</v>
          </cell>
          <cell r="DL34">
            <v>34</v>
          </cell>
          <cell r="DM34">
            <v>35</v>
          </cell>
          <cell r="DN34">
            <v>25</v>
          </cell>
          <cell r="DO34">
            <v>34</v>
          </cell>
          <cell r="DP34">
            <v>27</v>
          </cell>
          <cell r="DQ34">
            <v>0</v>
          </cell>
          <cell r="DR34">
            <v>1</v>
          </cell>
          <cell r="DS34">
            <v>0</v>
          </cell>
          <cell r="DT34">
            <v>0</v>
          </cell>
          <cell r="DU34">
            <v>0</v>
          </cell>
          <cell r="DV34">
            <v>0</v>
          </cell>
          <cell r="DW34">
            <v>0</v>
          </cell>
          <cell r="DX34">
            <v>0</v>
          </cell>
          <cell r="DY34">
            <v>0</v>
          </cell>
          <cell r="DZ34">
            <v>0</v>
          </cell>
          <cell r="EA34">
            <v>0</v>
          </cell>
          <cell r="EB34">
            <v>0</v>
          </cell>
          <cell r="EC34">
            <v>0</v>
          </cell>
          <cell r="ED34">
            <v>0</v>
          </cell>
          <cell r="EE34">
            <v>0</v>
          </cell>
          <cell r="EF34">
            <v>0</v>
          </cell>
          <cell r="EG34">
            <v>0</v>
          </cell>
          <cell r="EH34">
            <v>0</v>
          </cell>
          <cell r="EI34">
            <v>0</v>
          </cell>
          <cell r="EJ34">
            <v>0</v>
          </cell>
          <cell r="EK34">
            <v>0</v>
          </cell>
          <cell r="EL34">
            <v>1</v>
          </cell>
          <cell r="EM34">
            <v>0</v>
          </cell>
          <cell r="EN34">
            <v>0</v>
          </cell>
          <cell r="EO34">
            <v>1</v>
          </cell>
          <cell r="EP34">
            <v>3</v>
          </cell>
          <cell r="EQ34">
            <v>2</v>
          </cell>
          <cell r="ER34">
            <v>2</v>
          </cell>
          <cell r="ES34">
            <v>2</v>
          </cell>
          <cell r="ET34">
            <v>3</v>
          </cell>
          <cell r="EU34">
            <v>3</v>
          </cell>
          <cell r="EV34">
            <v>3</v>
          </cell>
          <cell r="EW34">
            <v>3</v>
          </cell>
          <cell r="EX34">
            <v>3</v>
          </cell>
          <cell r="EY34">
            <v>3</v>
          </cell>
          <cell r="EZ34">
            <v>3</v>
          </cell>
          <cell r="FA34">
            <v>3</v>
          </cell>
          <cell r="FB34">
            <v>3</v>
          </cell>
          <cell r="FC34">
            <v>2</v>
          </cell>
          <cell r="FD34">
            <v>2</v>
          </cell>
          <cell r="FE34">
            <v>2</v>
          </cell>
          <cell r="FF34">
            <v>2</v>
          </cell>
          <cell r="FG34">
            <v>44</v>
          </cell>
          <cell r="FH34">
            <v>4</v>
          </cell>
          <cell r="FI34">
            <v>1</v>
          </cell>
          <cell r="FJ34">
            <v>1</v>
          </cell>
          <cell r="FK34">
            <v>4</v>
          </cell>
          <cell r="FL34">
            <v>1</v>
          </cell>
          <cell r="FM34">
            <v>2</v>
          </cell>
          <cell r="FN34">
            <v>1</v>
          </cell>
          <cell r="FO34">
            <v>4</v>
          </cell>
          <cell r="FP34">
            <v>1</v>
          </cell>
          <cell r="FQ34">
            <v>1</v>
          </cell>
          <cell r="FR34">
            <v>4</v>
          </cell>
          <cell r="FS34">
            <v>1</v>
          </cell>
          <cell r="FT34">
            <v>2</v>
          </cell>
          <cell r="FU34">
            <v>3</v>
          </cell>
          <cell r="FV34">
            <v>2</v>
          </cell>
          <cell r="FW34">
            <v>4</v>
          </cell>
          <cell r="FX34">
            <v>1</v>
          </cell>
          <cell r="FY34">
            <v>1</v>
          </cell>
          <cell r="FZ34">
            <v>4</v>
          </cell>
          <cell r="GA34">
            <v>1</v>
          </cell>
          <cell r="GB34">
            <v>1</v>
          </cell>
          <cell r="GC34">
            <v>17</v>
          </cell>
        </row>
        <row r="35">
          <cell r="A35">
            <v>901</v>
          </cell>
          <cell r="B35">
            <v>0</v>
          </cell>
          <cell r="C35">
            <v>20</v>
          </cell>
          <cell r="D35">
            <v>0</v>
          </cell>
          <cell r="E35" t="str">
            <v xml:space="preserve"> </v>
          </cell>
          <cell r="F35">
            <v>5</v>
          </cell>
          <cell r="G35">
            <v>0</v>
          </cell>
          <cell r="H35" t="str">
            <v xml:space="preserve"> </v>
          </cell>
          <cell r="I35">
            <v>3</v>
          </cell>
          <cell r="J35" t="str">
            <v xml:space="preserve"> </v>
          </cell>
          <cell r="K35">
            <v>2</v>
          </cell>
          <cell r="L35">
            <v>5</v>
          </cell>
          <cell r="M35" t="str">
            <v xml:space="preserve"> </v>
          </cell>
          <cell r="N35" t="str">
            <v>5'3"</v>
          </cell>
          <cell r="O35">
            <v>120</v>
          </cell>
          <cell r="P35" t="str">
            <v>none</v>
          </cell>
          <cell r="Q35">
            <v>44731</v>
          </cell>
          <cell r="R35">
            <v>0</v>
          </cell>
          <cell r="S35" t="str">
            <v xml:space="preserve"> </v>
          </cell>
          <cell r="T35">
            <v>0</v>
          </cell>
          <cell r="U35" t="str">
            <v xml:space="preserve"> </v>
          </cell>
          <cell r="V35" t="str">
            <v xml:space="preserve"> </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t="str">
            <v xml:space="preserve"> </v>
          </cell>
          <cell r="AR35">
            <v>0</v>
          </cell>
          <cell r="AS35">
            <v>0</v>
          </cell>
          <cell r="AT35">
            <v>0</v>
          </cell>
          <cell r="AU35">
            <v>0</v>
          </cell>
          <cell r="AV35">
            <v>0</v>
          </cell>
          <cell r="AW35">
            <v>0</v>
          </cell>
          <cell r="AX35">
            <v>0</v>
          </cell>
          <cell r="AY35">
            <v>0</v>
          </cell>
          <cell r="AZ35">
            <v>0</v>
          </cell>
          <cell r="BA35">
            <v>7</v>
          </cell>
          <cell r="BB35">
            <v>1</v>
          </cell>
          <cell r="BC35">
            <v>25</v>
          </cell>
          <cell r="BD35">
            <v>7</v>
          </cell>
          <cell r="BE35">
            <v>0</v>
          </cell>
          <cell r="BF35">
            <v>30</v>
          </cell>
          <cell r="BG35">
            <v>7</v>
          </cell>
          <cell r="BH35">
            <v>0</v>
          </cell>
          <cell r="BI35">
            <v>20</v>
          </cell>
          <cell r="BJ35">
            <v>5</v>
          </cell>
          <cell r="BK35">
            <v>0</v>
          </cell>
          <cell r="BL35">
            <v>300</v>
          </cell>
          <cell r="BM35">
            <v>462</v>
          </cell>
          <cell r="BN35">
            <v>840</v>
          </cell>
          <cell r="BO35">
            <v>4760</v>
          </cell>
          <cell r="BP35">
            <v>6062</v>
          </cell>
          <cell r="BQ35">
            <v>3</v>
          </cell>
          <cell r="BR35">
            <v>5</v>
          </cell>
          <cell r="BS35">
            <v>6</v>
          </cell>
          <cell r="BT35">
            <v>7</v>
          </cell>
          <cell r="BU35">
            <v>7</v>
          </cell>
          <cell r="BV35">
            <v>6</v>
          </cell>
          <cell r="BW35">
            <v>7</v>
          </cell>
          <cell r="BX35">
            <v>7</v>
          </cell>
          <cell r="BY35">
            <v>4</v>
          </cell>
          <cell r="BZ35">
            <v>7</v>
          </cell>
          <cell r="CA35">
            <v>6</v>
          </cell>
          <cell r="CB35">
            <v>7</v>
          </cell>
          <cell r="CC35">
            <v>7</v>
          </cell>
          <cell r="CD35">
            <v>5.75</v>
          </cell>
          <cell r="CE35">
            <v>6.25</v>
          </cell>
          <cell r="CF35">
            <v>7</v>
          </cell>
          <cell r="CG35">
            <v>6.3333333329999997</v>
          </cell>
          <cell r="CH35">
            <v>5</v>
          </cell>
          <cell r="CI35">
            <v>9</v>
          </cell>
          <cell r="CJ35">
            <v>9</v>
          </cell>
          <cell r="CK35">
            <v>8</v>
          </cell>
          <cell r="CL35">
            <v>7</v>
          </cell>
          <cell r="CM35">
            <v>8</v>
          </cell>
          <cell r="CN35">
            <v>8</v>
          </cell>
          <cell r="CO35">
            <v>7</v>
          </cell>
          <cell r="CP35">
            <v>5</v>
          </cell>
          <cell r="CQ35">
            <v>8</v>
          </cell>
          <cell r="CR35">
            <v>9</v>
          </cell>
          <cell r="CS35">
            <v>9</v>
          </cell>
          <cell r="CT35">
            <v>9</v>
          </cell>
          <cell r="CU35">
            <v>9</v>
          </cell>
          <cell r="CV35">
            <v>9</v>
          </cell>
          <cell r="CW35">
            <v>5</v>
          </cell>
          <cell r="CX35">
            <v>9</v>
          </cell>
          <cell r="CY35">
            <v>7</v>
          </cell>
          <cell r="CZ35">
            <v>8</v>
          </cell>
          <cell r="DA35">
            <v>9</v>
          </cell>
          <cell r="DB35">
            <v>8</v>
          </cell>
          <cell r="DC35">
            <v>165</v>
          </cell>
          <cell r="DD35">
            <v>15</v>
          </cell>
          <cell r="DE35">
            <v>24</v>
          </cell>
          <cell r="DF35">
            <v>25</v>
          </cell>
          <cell r="DG35">
            <v>24</v>
          </cell>
          <cell r="DH35">
            <v>25</v>
          </cell>
          <cell r="DI35">
            <v>26</v>
          </cell>
          <cell r="DJ35">
            <v>26</v>
          </cell>
          <cell r="DK35">
            <v>26</v>
          </cell>
          <cell r="DL35">
            <v>30</v>
          </cell>
          <cell r="DM35">
            <v>35</v>
          </cell>
          <cell r="DN35">
            <v>21</v>
          </cell>
          <cell r="DO35">
            <v>31</v>
          </cell>
          <cell r="DP35">
            <v>22</v>
          </cell>
          <cell r="DQ35">
            <v>1</v>
          </cell>
          <cell r="DR35">
            <v>0</v>
          </cell>
          <cell r="DS35">
            <v>0</v>
          </cell>
          <cell r="DT35">
            <v>0</v>
          </cell>
          <cell r="DU35">
            <v>0</v>
          </cell>
          <cell r="DV35">
            <v>1</v>
          </cell>
          <cell r="DW35">
            <v>0</v>
          </cell>
          <cell r="DX35">
            <v>0</v>
          </cell>
          <cell r="DY35">
            <v>0</v>
          </cell>
          <cell r="DZ35">
            <v>0</v>
          </cell>
          <cell r="EA35">
            <v>0</v>
          </cell>
          <cell r="EB35">
            <v>0</v>
          </cell>
          <cell r="EC35">
            <v>0</v>
          </cell>
          <cell r="ED35">
            <v>1</v>
          </cell>
          <cell r="EE35">
            <v>0</v>
          </cell>
          <cell r="EF35">
            <v>0</v>
          </cell>
          <cell r="EG35">
            <v>0</v>
          </cell>
          <cell r="EH35">
            <v>0</v>
          </cell>
          <cell r="EI35">
            <v>0</v>
          </cell>
          <cell r="EJ35">
            <v>0</v>
          </cell>
          <cell r="EK35">
            <v>0</v>
          </cell>
          <cell r="EL35">
            <v>0</v>
          </cell>
          <cell r="EM35">
            <v>0</v>
          </cell>
          <cell r="EN35">
            <v>3</v>
          </cell>
          <cell r="EO35">
            <v>3</v>
          </cell>
          <cell r="EP35">
            <v>5</v>
          </cell>
          <cell r="EQ35">
            <v>5</v>
          </cell>
          <cell r="ER35">
            <v>3</v>
          </cell>
          <cell r="ES35">
            <v>5</v>
          </cell>
          <cell r="ET35">
            <v>5</v>
          </cell>
          <cell r="EU35">
            <v>5</v>
          </cell>
          <cell r="EV35">
            <v>5</v>
          </cell>
          <cell r="EW35">
            <v>3</v>
          </cell>
          <cell r="EX35">
            <v>5</v>
          </cell>
          <cell r="EY35">
            <v>5</v>
          </cell>
          <cell r="EZ35">
            <v>5</v>
          </cell>
          <cell r="FA35">
            <v>2</v>
          </cell>
          <cell r="FB35">
            <v>5</v>
          </cell>
          <cell r="FC35">
            <v>2</v>
          </cell>
          <cell r="FD35">
            <v>2</v>
          </cell>
          <cell r="FE35">
            <v>2</v>
          </cell>
          <cell r="FF35">
            <v>5</v>
          </cell>
          <cell r="FG35">
            <v>69</v>
          </cell>
          <cell r="FH35">
            <v>3</v>
          </cell>
          <cell r="FI35">
            <v>2</v>
          </cell>
          <cell r="FJ35">
            <v>1</v>
          </cell>
          <cell r="FK35">
            <v>4</v>
          </cell>
          <cell r="FL35">
            <v>1</v>
          </cell>
          <cell r="FM35">
            <v>2</v>
          </cell>
          <cell r="FN35">
            <v>1</v>
          </cell>
          <cell r="FO35">
            <v>4</v>
          </cell>
          <cell r="FP35">
            <v>1</v>
          </cell>
          <cell r="FQ35">
            <v>2</v>
          </cell>
          <cell r="FR35">
            <v>4</v>
          </cell>
          <cell r="FS35">
            <v>1</v>
          </cell>
          <cell r="FT35">
            <v>1</v>
          </cell>
          <cell r="FU35">
            <v>4</v>
          </cell>
          <cell r="FV35">
            <v>1</v>
          </cell>
          <cell r="FW35">
            <v>3</v>
          </cell>
          <cell r="FX35">
            <v>2</v>
          </cell>
          <cell r="FY35">
            <v>1</v>
          </cell>
          <cell r="FZ35">
            <v>4</v>
          </cell>
          <cell r="GA35">
            <v>1</v>
          </cell>
          <cell r="GB35">
            <v>2</v>
          </cell>
          <cell r="GC35">
            <v>19</v>
          </cell>
        </row>
        <row r="36">
          <cell r="A36">
            <v>904</v>
          </cell>
          <cell r="B36">
            <v>2</v>
          </cell>
          <cell r="C36">
            <v>37</v>
          </cell>
          <cell r="D36">
            <v>0</v>
          </cell>
          <cell r="E36" t="str">
            <v xml:space="preserve"> </v>
          </cell>
          <cell r="F36">
            <v>5</v>
          </cell>
          <cell r="G36">
            <v>0</v>
          </cell>
          <cell r="H36" t="str">
            <v xml:space="preserve"> </v>
          </cell>
          <cell r="I36">
            <v>2</v>
          </cell>
          <cell r="J36" t="str">
            <v>Technology Educator</v>
          </cell>
          <cell r="K36">
            <v>2</v>
          </cell>
          <cell r="L36">
            <v>5</v>
          </cell>
          <cell r="M36" t="str">
            <v xml:space="preserve"> </v>
          </cell>
          <cell r="N36" t="str">
            <v>5'7"</v>
          </cell>
          <cell r="O36">
            <v>275</v>
          </cell>
          <cell r="P36" t="str">
            <v>gabapentin 100 mg oral capsule - as</v>
          </cell>
          <cell r="Q36">
            <v>44761</v>
          </cell>
          <cell r="R36">
            <v>1</v>
          </cell>
          <cell r="S36">
            <v>3</v>
          </cell>
          <cell r="T36">
            <v>0</v>
          </cell>
          <cell r="U36" t="str">
            <v xml:space="preserve"> </v>
          </cell>
          <cell r="V36" t="str">
            <v xml:space="preserve"> </v>
          </cell>
          <cell r="W36">
            <v>0</v>
          </cell>
          <cell r="X36">
            <v>0</v>
          </cell>
          <cell r="Y36">
            <v>0</v>
          </cell>
          <cell r="Z36">
            <v>0</v>
          </cell>
          <cell r="AA36">
            <v>0</v>
          </cell>
          <cell r="AB36">
            <v>0</v>
          </cell>
          <cell r="AC36">
            <v>0</v>
          </cell>
          <cell r="AD36">
            <v>1</v>
          </cell>
          <cell r="AE36">
            <v>1</v>
          </cell>
          <cell r="AF36">
            <v>0</v>
          </cell>
          <cell r="AG36">
            <v>0</v>
          </cell>
          <cell r="AH36">
            <v>0</v>
          </cell>
          <cell r="AI36">
            <v>0</v>
          </cell>
          <cell r="AJ36">
            <v>0</v>
          </cell>
          <cell r="AK36">
            <v>0</v>
          </cell>
          <cell r="AL36">
            <v>0</v>
          </cell>
          <cell r="AM36">
            <v>0</v>
          </cell>
          <cell r="AN36">
            <v>0</v>
          </cell>
          <cell r="AO36">
            <v>0</v>
          </cell>
          <cell r="AP36">
            <v>0</v>
          </cell>
          <cell r="AQ36" t="str">
            <v xml:space="preserve"> </v>
          </cell>
          <cell r="AR36">
            <v>1</v>
          </cell>
          <cell r="AS36">
            <v>1</v>
          </cell>
          <cell r="AT36">
            <v>0</v>
          </cell>
          <cell r="AU36">
            <v>0</v>
          </cell>
          <cell r="AV36">
            <v>0</v>
          </cell>
          <cell r="AW36">
            <v>0</v>
          </cell>
          <cell r="AX36">
            <v>0</v>
          </cell>
          <cell r="AY36">
            <v>0</v>
          </cell>
          <cell r="AZ36">
            <v>21</v>
          </cell>
          <cell r="BA36">
            <v>0</v>
          </cell>
          <cell r="BB36" t="str">
            <v xml:space="preserve"> </v>
          </cell>
          <cell r="BC36" t="str">
            <v xml:space="preserve"> </v>
          </cell>
          <cell r="BD36">
            <v>0</v>
          </cell>
          <cell r="BE36" t="str">
            <v xml:space="preserve"> </v>
          </cell>
          <cell r="BF36" t="str">
            <v xml:space="preserve"> </v>
          </cell>
          <cell r="BG36">
            <v>0</v>
          </cell>
          <cell r="BH36" t="str">
            <v xml:space="preserve"> </v>
          </cell>
          <cell r="BI36" t="str">
            <v xml:space="preserve"> </v>
          </cell>
          <cell r="BJ36">
            <v>10</v>
          </cell>
          <cell r="BK36">
            <v>0</v>
          </cell>
          <cell r="BL36">
            <v>600</v>
          </cell>
          <cell r="BM36">
            <v>0</v>
          </cell>
          <cell r="BN36">
            <v>0</v>
          </cell>
          <cell r="BO36">
            <v>0</v>
          </cell>
          <cell r="BP36">
            <v>0</v>
          </cell>
          <cell r="BQ36">
            <v>1</v>
          </cell>
          <cell r="BR36">
            <v>2</v>
          </cell>
          <cell r="BS36">
            <v>2</v>
          </cell>
          <cell r="BT36">
            <v>5</v>
          </cell>
          <cell r="BU36">
            <v>3</v>
          </cell>
          <cell r="BV36">
            <v>2</v>
          </cell>
          <cell r="BW36">
            <v>5</v>
          </cell>
          <cell r="BX36">
            <v>3</v>
          </cell>
          <cell r="BY36">
            <v>3</v>
          </cell>
          <cell r="BZ36">
            <v>6</v>
          </cell>
          <cell r="CA36">
            <v>2</v>
          </cell>
          <cell r="CB36">
            <v>6</v>
          </cell>
          <cell r="CC36">
            <v>5</v>
          </cell>
          <cell r="CD36">
            <v>2</v>
          </cell>
          <cell r="CE36">
            <v>4.25</v>
          </cell>
          <cell r="CF36">
            <v>4.75</v>
          </cell>
          <cell r="CG36">
            <v>3.6666666669999999</v>
          </cell>
          <cell r="CH36">
            <v>6</v>
          </cell>
          <cell r="CI36">
            <v>6</v>
          </cell>
          <cell r="CJ36">
            <v>3</v>
          </cell>
          <cell r="CK36">
            <v>7</v>
          </cell>
          <cell r="CL36">
            <v>3</v>
          </cell>
          <cell r="CM36">
            <v>6</v>
          </cell>
          <cell r="CN36">
            <v>1</v>
          </cell>
          <cell r="CO36">
            <v>8</v>
          </cell>
          <cell r="CP36">
            <v>6</v>
          </cell>
          <cell r="CQ36">
            <v>7</v>
          </cell>
          <cell r="CR36">
            <v>7</v>
          </cell>
          <cell r="CS36">
            <v>1</v>
          </cell>
          <cell r="CT36">
            <v>2</v>
          </cell>
          <cell r="CU36">
            <v>6</v>
          </cell>
          <cell r="CV36">
            <v>9</v>
          </cell>
          <cell r="CW36">
            <v>4</v>
          </cell>
          <cell r="CX36">
            <v>4</v>
          </cell>
          <cell r="CY36">
            <v>2</v>
          </cell>
          <cell r="CZ36">
            <v>8</v>
          </cell>
          <cell r="DA36">
            <v>6</v>
          </cell>
          <cell r="DB36">
            <v>1</v>
          </cell>
          <cell r="DC36">
            <v>103</v>
          </cell>
          <cell r="DD36">
            <v>16</v>
          </cell>
          <cell r="DE36">
            <v>10</v>
          </cell>
          <cell r="DF36">
            <v>5</v>
          </cell>
          <cell r="DG36">
            <v>24</v>
          </cell>
          <cell r="DH36">
            <v>15</v>
          </cell>
          <cell r="DI36">
            <v>20</v>
          </cell>
          <cell r="DJ36">
            <v>13</v>
          </cell>
          <cell r="DK36">
            <v>14</v>
          </cell>
          <cell r="DL36">
            <v>17</v>
          </cell>
          <cell r="DM36">
            <v>22</v>
          </cell>
          <cell r="DN36">
            <v>19</v>
          </cell>
          <cell r="DO36">
            <v>19</v>
          </cell>
          <cell r="DP36">
            <v>12</v>
          </cell>
          <cell r="DQ36">
            <v>1</v>
          </cell>
          <cell r="DR36">
            <v>1</v>
          </cell>
          <cell r="DS36">
            <v>1</v>
          </cell>
          <cell r="DT36">
            <v>1</v>
          </cell>
          <cell r="DU36">
            <v>2</v>
          </cell>
          <cell r="DV36">
            <v>1</v>
          </cell>
          <cell r="DW36">
            <v>0</v>
          </cell>
          <cell r="DX36">
            <v>0</v>
          </cell>
          <cell r="DY36">
            <v>2</v>
          </cell>
          <cell r="DZ36">
            <v>3</v>
          </cell>
          <cell r="EA36">
            <v>1</v>
          </cell>
          <cell r="EB36">
            <v>2</v>
          </cell>
          <cell r="EC36">
            <v>2</v>
          </cell>
          <cell r="ED36">
            <v>0</v>
          </cell>
          <cell r="EE36">
            <v>1</v>
          </cell>
          <cell r="EF36">
            <v>2</v>
          </cell>
          <cell r="EG36">
            <v>0</v>
          </cell>
          <cell r="EH36">
            <v>1</v>
          </cell>
          <cell r="EI36">
            <v>0</v>
          </cell>
          <cell r="EJ36">
            <v>0</v>
          </cell>
          <cell r="EK36">
            <v>3</v>
          </cell>
          <cell r="EL36">
            <v>5</v>
          </cell>
          <cell r="EM36">
            <v>13</v>
          </cell>
          <cell r="EN36">
            <v>6</v>
          </cell>
          <cell r="EO36">
            <v>24</v>
          </cell>
          <cell r="EP36">
            <v>2</v>
          </cell>
          <cell r="EQ36">
            <v>5</v>
          </cell>
          <cell r="ER36">
            <v>5</v>
          </cell>
          <cell r="ES36">
            <v>5</v>
          </cell>
          <cell r="ET36">
            <v>5</v>
          </cell>
          <cell r="EU36">
            <v>5</v>
          </cell>
          <cell r="EV36">
            <v>5</v>
          </cell>
          <cell r="EW36">
            <v>5</v>
          </cell>
          <cell r="EX36">
            <v>5</v>
          </cell>
          <cell r="EY36">
            <v>5</v>
          </cell>
          <cell r="EZ36">
            <v>5</v>
          </cell>
          <cell r="FA36">
            <v>5</v>
          </cell>
          <cell r="FB36">
            <v>3</v>
          </cell>
          <cell r="FC36">
            <v>4</v>
          </cell>
          <cell r="FD36">
            <v>4</v>
          </cell>
          <cell r="FE36">
            <v>5</v>
          </cell>
          <cell r="FF36">
            <v>2</v>
          </cell>
          <cell r="FG36">
            <v>75</v>
          </cell>
          <cell r="FH36">
            <v>3</v>
          </cell>
          <cell r="FI36">
            <v>2</v>
          </cell>
          <cell r="FJ36">
            <v>2</v>
          </cell>
          <cell r="FK36">
            <v>2</v>
          </cell>
          <cell r="FL36">
            <v>3</v>
          </cell>
          <cell r="FM36">
            <v>2</v>
          </cell>
          <cell r="FN36">
            <v>2</v>
          </cell>
          <cell r="FO36">
            <v>1</v>
          </cell>
          <cell r="FP36">
            <v>4</v>
          </cell>
          <cell r="FQ36">
            <v>3</v>
          </cell>
          <cell r="FR36">
            <v>1</v>
          </cell>
          <cell r="FS36">
            <v>4</v>
          </cell>
          <cell r="FT36">
            <v>3</v>
          </cell>
          <cell r="FU36">
            <v>3</v>
          </cell>
          <cell r="FV36">
            <v>2</v>
          </cell>
          <cell r="FW36">
            <v>3</v>
          </cell>
          <cell r="FX36">
            <v>2</v>
          </cell>
          <cell r="FY36">
            <v>4</v>
          </cell>
          <cell r="FZ36">
            <v>4</v>
          </cell>
          <cell r="GA36">
            <v>1</v>
          </cell>
          <cell r="GB36">
            <v>2</v>
          </cell>
          <cell r="GC36">
            <v>36</v>
          </cell>
        </row>
        <row r="37">
          <cell r="A37">
            <v>906</v>
          </cell>
          <cell r="B37">
            <v>2</v>
          </cell>
          <cell r="C37">
            <v>25</v>
          </cell>
          <cell r="D37">
            <v>0</v>
          </cell>
          <cell r="E37" t="str">
            <v xml:space="preserve"> </v>
          </cell>
          <cell r="F37">
            <v>5</v>
          </cell>
          <cell r="G37">
            <v>1</v>
          </cell>
          <cell r="H37">
            <v>1</v>
          </cell>
          <cell r="I37">
            <v>0</v>
          </cell>
          <cell r="J37" t="str">
            <v xml:space="preserve"> </v>
          </cell>
          <cell r="K37">
            <v>2</v>
          </cell>
          <cell r="L37">
            <v>5</v>
          </cell>
          <cell r="M37" t="str">
            <v xml:space="preserve"> </v>
          </cell>
          <cell r="N37" t="str">
            <v>5'4"</v>
          </cell>
          <cell r="O37">
            <v>290</v>
          </cell>
          <cell r="P37" t="str">
            <v>cymbalta 60 mg 1 1/2 year  concerta 27mg 6months  hydroxazine 25mg 1 1/2 year  metformin 500mg 10yrs</v>
          </cell>
          <cell r="Q37">
            <v>44464</v>
          </cell>
          <cell r="R37">
            <v>1</v>
          </cell>
          <cell r="S37">
            <v>3</v>
          </cell>
          <cell r="T37">
            <v>1</v>
          </cell>
          <cell r="U37">
            <v>5</v>
          </cell>
          <cell r="V37">
            <v>0</v>
          </cell>
          <cell r="W37">
            <v>1</v>
          </cell>
          <cell r="X37">
            <v>0</v>
          </cell>
          <cell r="Y37">
            <v>0</v>
          </cell>
          <cell r="Z37">
            <v>0</v>
          </cell>
          <cell r="AA37">
            <v>0</v>
          </cell>
          <cell r="AB37">
            <v>0</v>
          </cell>
          <cell r="AC37">
            <v>0</v>
          </cell>
          <cell r="AD37">
            <v>1</v>
          </cell>
          <cell r="AE37">
            <v>1</v>
          </cell>
          <cell r="AF37">
            <v>0</v>
          </cell>
          <cell r="AG37">
            <v>0</v>
          </cell>
          <cell r="AH37">
            <v>0</v>
          </cell>
          <cell r="AI37">
            <v>0</v>
          </cell>
          <cell r="AJ37">
            <v>0</v>
          </cell>
          <cell r="AK37">
            <v>0</v>
          </cell>
          <cell r="AL37">
            <v>0</v>
          </cell>
          <cell r="AM37">
            <v>0</v>
          </cell>
          <cell r="AN37">
            <v>0</v>
          </cell>
          <cell r="AO37">
            <v>0</v>
          </cell>
          <cell r="AP37">
            <v>0</v>
          </cell>
          <cell r="AQ37" t="str">
            <v xml:space="preserve"> </v>
          </cell>
          <cell r="AR37">
            <v>1</v>
          </cell>
          <cell r="AS37">
            <v>0</v>
          </cell>
          <cell r="AT37">
            <v>0</v>
          </cell>
          <cell r="AU37">
            <v>0</v>
          </cell>
          <cell r="AV37">
            <v>1</v>
          </cell>
          <cell r="AW37">
            <v>0</v>
          </cell>
          <cell r="AX37">
            <v>1</v>
          </cell>
          <cell r="AY37">
            <v>0</v>
          </cell>
          <cell r="AZ37">
            <v>29</v>
          </cell>
          <cell r="BA37">
            <v>0</v>
          </cell>
          <cell r="BB37" t="str">
            <v xml:space="preserve"> </v>
          </cell>
          <cell r="BC37" t="str">
            <v xml:space="preserve"> </v>
          </cell>
          <cell r="BD37">
            <v>0</v>
          </cell>
          <cell r="BE37" t="str">
            <v xml:space="preserve"> </v>
          </cell>
          <cell r="BF37" t="str">
            <v xml:space="preserve"> </v>
          </cell>
          <cell r="BG37">
            <v>3</v>
          </cell>
          <cell r="BH37">
            <v>2</v>
          </cell>
          <cell r="BI37">
            <v>0</v>
          </cell>
          <cell r="BJ37">
            <v>10</v>
          </cell>
          <cell r="BK37">
            <v>0</v>
          </cell>
          <cell r="BL37">
            <v>600</v>
          </cell>
          <cell r="BM37">
            <v>1188</v>
          </cell>
          <cell r="BN37">
            <v>0</v>
          </cell>
          <cell r="BO37">
            <v>0</v>
          </cell>
          <cell r="BP37">
            <v>1188</v>
          </cell>
          <cell r="BQ37">
            <v>2</v>
          </cell>
          <cell r="BR37">
            <v>6</v>
          </cell>
          <cell r="BS37">
            <v>6</v>
          </cell>
          <cell r="BT37">
            <v>7</v>
          </cell>
          <cell r="BU37">
            <v>6</v>
          </cell>
          <cell r="BV37">
            <v>7</v>
          </cell>
          <cell r="BW37">
            <v>6</v>
          </cell>
          <cell r="BX37">
            <v>6</v>
          </cell>
          <cell r="BY37">
            <v>6</v>
          </cell>
          <cell r="BZ37">
            <v>6</v>
          </cell>
          <cell r="CA37">
            <v>7</v>
          </cell>
          <cell r="CB37">
            <v>6</v>
          </cell>
          <cell r="CC37">
            <v>6</v>
          </cell>
          <cell r="CD37">
            <v>6.5</v>
          </cell>
          <cell r="CE37">
            <v>6.25</v>
          </cell>
          <cell r="CF37">
            <v>6</v>
          </cell>
          <cell r="CG37">
            <v>6.25</v>
          </cell>
          <cell r="CH37">
            <v>7</v>
          </cell>
          <cell r="CI37">
            <v>5</v>
          </cell>
          <cell r="CJ37">
            <v>7</v>
          </cell>
          <cell r="CK37">
            <v>6</v>
          </cell>
          <cell r="CL37">
            <v>3</v>
          </cell>
          <cell r="CM37">
            <v>7</v>
          </cell>
          <cell r="CN37">
            <v>5</v>
          </cell>
          <cell r="CO37">
            <v>3</v>
          </cell>
          <cell r="CP37">
            <v>5</v>
          </cell>
          <cell r="CQ37">
            <v>5</v>
          </cell>
          <cell r="CR37">
            <v>6</v>
          </cell>
          <cell r="CS37">
            <v>8</v>
          </cell>
          <cell r="CT37">
            <v>7</v>
          </cell>
          <cell r="CU37">
            <v>7</v>
          </cell>
          <cell r="CV37">
            <v>5</v>
          </cell>
          <cell r="CW37">
            <v>5</v>
          </cell>
          <cell r="CX37">
            <v>8</v>
          </cell>
          <cell r="CY37">
            <v>6</v>
          </cell>
          <cell r="CZ37">
            <v>3</v>
          </cell>
          <cell r="DA37">
            <v>5</v>
          </cell>
          <cell r="DB37">
            <v>2</v>
          </cell>
          <cell r="DC37">
            <v>115</v>
          </cell>
          <cell r="DD37">
            <v>17</v>
          </cell>
          <cell r="DE37">
            <v>20</v>
          </cell>
          <cell r="DF37">
            <v>14</v>
          </cell>
          <cell r="DG37">
            <v>13</v>
          </cell>
          <cell r="DH37">
            <v>13</v>
          </cell>
          <cell r="DI37">
            <v>19</v>
          </cell>
          <cell r="DJ37">
            <v>19</v>
          </cell>
          <cell r="DK37">
            <v>21</v>
          </cell>
          <cell r="DL37">
            <v>20</v>
          </cell>
          <cell r="DM37">
            <v>17</v>
          </cell>
          <cell r="DN37">
            <v>14</v>
          </cell>
          <cell r="DO37">
            <v>29</v>
          </cell>
          <cell r="DP37">
            <v>14</v>
          </cell>
          <cell r="DQ37">
            <v>1</v>
          </cell>
          <cell r="DR37">
            <v>0</v>
          </cell>
          <cell r="DS37">
            <v>2</v>
          </cell>
          <cell r="DT37">
            <v>1</v>
          </cell>
          <cell r="DU37">
            <v>3</v>
          </cell>
          <cell r="DV37">
            <v>2</v>
          </cell>
          <cell r="DW37">
            <v>0</v>
          </cell>
          <cell r="DX37">
            <v>1</v>
          </cell>
          <cell r="DY37">
            <v>2</v>
          </cell>
          <cell r="DZ37">
            <v>1</v>
          </cell>
          <cell r="EA37">
            <v>1</v>
          </cell>
          <cell r="EB37">
            <v>2</v>
          </cell>
          <cell r="EC37">
            <v>3</v>
          </cell>
          <cell r="ED37">
            <v>1</v>
          </cell>
          <cell r="EE37">
            <v>1</v>
          </cell>
          <cell r="EF37">
            <v>2</v>
          </cell>
          <cell r="EG37">
            <v>3</v>
          </cell>
          <cell r="EH37">
            <v>1</v>
          </cell>
          <cell r="EI37">
            <v>0</v>
          </cell>
          <cell r="EJ37">
            <v>2</v>
          </cell>
          <cell r="EK37">
            <v>2</v>
          </cell>
          <cell r="EL37">
            <v>6</v>
          </cell>
          <cell r="EM37">
            <v>16</v>
          </cell>
          <cell r="EN37">
            <v>9</v>
          </cell>
          <cell r="EO37">
            <v>31</v>
          </cell>
          <cell r="EP37">
            <v>3</v>
          </cell>
          <cell r="EQ37">
            <v>2</v>
          </cell>
          <cell r="ER37">
            <v>1</v>
          </cell>
          <cell r="ES37">
            <v>3</v>
          </cell>
          <cell r="ET37">
            <v>5</v>
          </cell>
          <cell r="EU37">
            <v>3</v>
          </cell>
          <cell r="EV37">
            <v>3</v>
          </cell>
          <cell r="EW37">
            <v>1</v>
          </cell>
          <cell r="EX37">
            <v>1</v>
          </cell>
          <cell r="EY37">
            <v>5</v>
          </cell>
          <cell r="EZ37">
            <v>3</v>
          </cell>
          <cell r="FA37">
            <v>2</v>
          </cell>
          <cell r="FB37">
            <v>3</v>
          </cell>
          <cell r="FC37">
            <v>2</v>
          </cell>
          <cell r="FD37">
            <v>1</v>
          </cell>
          <cell r="FE37">
            <v>3</v>
          </cell>
          <cell r="FF37">
            <v>1</v>
          </cell>
          <cell r="FG37">
            <v>42</v>
          </cell>
          <cell r="FH37">
            <v>2</v>
          </cell>
          <cell r="FI37">
            <v>3</v>
          </cell>
          <cell r="FJ37">
            <v>2</v>
          </cell>
          <cell r="FK37">
            <v>1</v>
          </cell>
          <cell r="FL37">
            <v>4</v>
          </cell>
          <cell r="FM37">
            <v>3</v>
          </cell>
          <cell r="FN37">
            <v>4</v>
          </cell>
          <cell r="FO37">
            <v>3</v>
          </cell>
          <cell r="FP37">
            <v>2</v>
          </cell>
          <cell r="FQ37">
            <v>1</v>
          </cell>
          <cell r="FR37">
            <v>3</v>
          </cell>
          <cell r="FS37">
            <v>2</v>
          </cell>
          <cell r="FT37">
            <v>4</v>
          </cell>
          <cell r="FU37">
            <v>2</v>
          </cell>
          <cell r="FV37">
            <v>3</v>
          </cell>
          <cell r="FW37">
            <v>2</v>
          </cell>
          <cell r="FX37">
            <v>3</v>
          </cell>
          <cell r="FY37">
            <v>3</v>
          </cell>
          <cell r="FZ37">
            <v>4</v>
          </cell>
          <cell r="GA37">
            <v>1</v>
          </cell>
          <cell r="GB37">
            <v>1</v>
          </cell>
          <cell r="GC37">
            <v>36</v>
          </cell>
        </row>
        <row r="38">
          <cell r="A38">
            <v>915</v>
          </cell>
          <cell r="B38">
            <v>1</v>
          </cell>
          <cell r="C38">
            <v>31</v>
          </cell>
          <cell r="D38">
            <v>0</v>
          </cell>
          <cell r="E38" t="str">
            <v xml:space="preserve"> </v>
          </cell>
          <cell r="F38">
            <v>1</v>
          </cell>
          <cell r="G38">
            <v>0</v>
          </cell>
          <cell r="H38" t="str">
            <v xml:space="preserve"> </v>
          </cell>
          <cell r="I38">
            <v>3</v>
          </cell>
          <cell r="J38" t="str">
            <v xml:space="preserve"> </v>
          </cell>
          <cell r="K38">
            <v>2</v>
          </cell>
          <cell r="L38">
            <v>5</v>
          </cell>
          <cell r="M38" t="str">
            <v xml:space="preserve"> </v>
          </cell>
          <cell r="N38" t="str">
            <v>5'1</v>
          </cell>
          <cell r="O38">
            <v>126</v>
          </cell>
          <cell r="P38" t="str">
            <v>Wellbutrin XL 150mg for about 4 months</v>
          </cell>
          <cell r="Q38">
            <v>44040</v>
          </cell>
          <cell r="R38">
            <v>1</v>
          </cell>
          <cell r="S38">
            <v>4</v>
          </cell>
          <cell r="T38">
            <v>0</v>
          </cell>
          <cell r="U38" t="str">
            <v xml:space="preserve"> </v>
          </cell>
          <cell r="V38" t="str">
            <v xml:space="preserve"> </v>
          </cell>
          <cell r="W38">
            <v>0</v>
          </cell>
          <cell r="X38">
            <v>0</v>
          </cell>
          <cell r="Y38">
            <v>0</v>
          </cell>
          <cell r="Z38">
            <v>0</v>
          </cell>
          <cell r="AA38">
            <v>0</v>
          </cell>
          <cell r="AB38">
            <v>0</v>
          </cell>
          <cell r="AC38">
            <v>0</v>
          </cell>
          <cell r="AD38">
            <v>1</v>
          </cell>
          <cell r="AE38">
            <v>1</v>
          </cell>
          <cell r="AF38">
            <v>0</v>
          </cell>
          <cell r="AG38">
            <v>0</v>
          </cell>
          <cell r="AH38">
            <v>0</v>
          </cell>
          <cell r="AI38">
            <v>0</v>
          </cell>
          <cell r="AJ38">
            <v>0</v>
          </cell>
          <cell r="AK38">
            <v>0</v>
          </cell>
          <cell r="AL38">
            <v>0</v>
          </cell>
          <cell r="AM38">
            <v>0</v>
          </cell>
          <cell r="AN38">
            <v>0</v>
          </cell>
          <cell r="AO38">
            <v>0</v>
          </cell>
          <cell r="AP38">
            <v>0</v>
          </cell>
          <cell r="AQ38" t="str">
            <v xml:space="preserve"> </v>
          </cell>
          <cell r="AR38">
            <v>1</v>
          </cell>
          <cell r="AS38">
            <v>0</v>
          </cell>
          <cell r="AT38">
            <v>1</v>
          </cell>
          <cell r="AU38">
            <v>0</v>
          </cell>
          <cell r="AV38">
            <v>1</v>
          </cell>
          <cell r="AW38">
            <v>1</v>
          </cell>
          <cell r="AX38">
            <v>1</v>
          </cell>
          <cell r="AY38">
            <v>0</v>
          </cell>
          <cell r="AZ38">
            <v>14</v>
          </cell>
          <cell r="BA38">
            <v>3</v>
          </cell>
          <cell r="BB38">
            <v>1</v>
          </cell>
          <cell r="BC38">
            <v>0</v>
          </cell>
          <cell r="BD38">
            <v>1</v>
          </cell>
          <cell r="BE38">
            <v>2</v>
          </cell>
          <cell r="BF38">
            <v>0</v>
          </cell>
          <cell r="BG38">
            <v>3</v>
          </cell>
          <cell r="BH38">
            <v>0</v>
          </cell>
          <cell r="BI38">
            <v>15</v>
          </cell>
          <cell r="BJ38">
            <v>10</v>
          </cell>
          <cell r="BK38">
            <v>0</v>
          </cell>
          <cell r="BL38">
            <v>600</v>
          </cell>
          <cell r="BM38">
            <v>148.5</v>
          </cell>
          <cell r="BN38">
            <v>480</v>
          </cell>
          <cell r="BO38">
            <v>1440</v>
          </cell>
          <cell r="BP38">
            <v>2068.5</v>
          </cell>
          <cell r="BQ38">
            <v>2</v>
          </cell>
          <cell r="BR38">
            <v>5</v>
          </cell>
          <cell r="BS38">
            <v>5</v>
          </cell>
          <cell r="BT38">
            <v>4</v>
          </cell>
          <cell r="BU38">
            <v>3</v>
          </cell>
          <cell r="BV38">
            <v>5</v>
          </cell>
          <cell r="BW38">
            <v>6</v>
          </cell>
          <cell r="BX38">
            <v>6</v>
          </cell>
          <cell r="BY38">
            <v>3</v>
          </cell>
          <cell r="BZ38">
            <v>6</v>
          </cell>
          <cell r="CA38">
            <v>5</v>
          </cell>
          <cell r="CB38">
            <v>5</v>
          </cell>
          <cell r="CC38">
            <v>6</v>
          </cell>
          <cell r="CD38">
            <v>5</v>
          </cell>
          <cell r="CE38">
            <v>3.75</v>
          </cell>
          <cell r="CF38">
            <v>6</v>
          </cell>
          <cell r="CG38">
            <v>4.9166666670000003</v>
          </cell>
          <cell r="CH38">
            <v>6</v>
          </cell>
          <cell r="CI38">
            <v>7</v>
          </cell>
          <cell r="CJ38">
            <v>7</v>
          </cell>
          <cell r="CK38">
            <v>8</v>
          </cell>
          <cell r="CL38">
            <v>2</v>
          </cell>
          <cell r="CM38">
            <v>6</v>
          </cell>
          <cell r="CN38">
            <v>7</v>
          </cell>
          <cell r="CO38">
            <v>5</v>
          </cell>
          <cell r="CP38">
            <v>6</v>
          </cell>
          <cell r="CQ38">
            <v>2</v>
          </cell>
          <cell r="CR38">
            <v>8</v>
          </cell>
          <cell r="CS38">
            <v>8</v>
          </cell>
          <cell r="CT38">
            <v>6</v>
          </cell>
          <cell r="CU38">
            <v>8</v>
          </cell>
          <cell r="CV38">
            <v>8</v>
          </cell>
          <cell r="CW38">
            <v>6</v>
          </cell>
          <cell r="CX38">
            <v>6</v>
          </cell>
          <cell r="CY38">
            <v>7</v>
          </cell>
          <cell r="CZ38">
            <v>5</v>
          </cell>
          <cell r="DA38">
            <v>7</v>
          </cell>
          <cell r="DB38">
            <v>5</v>
          </cell>
          <cell r="DC38">
            <v>130</v>
          </cell>
          <cell r="DD38">
            <v>18</v>
          </cell>
          <cell r="DE38">
            <v>19</v>
          </cell>
          <cell r="DF38">
            <v>19</v>
          </cell>
          <cell r="DG38">
            <v>15</v>
          </cell>
          <cell r="DH38">
            <v>16</v>
          </cell>
          <cell r="DI38">
            <v>24</v>
          </cell>
          <cell r="DJ38">
            <v>19</v>
          </cell>
          <cell r="DK38">
            <v>24</v>
          </cell>
          <cell r="DL38">
            <v>24</v>
          </cell>
          <cell r="DM38">
            <v>27</v>
          </cell>
          <cell r="DN38">
            <v>19</v>
          </cell>
          <cell r="DO38">
            <v>25</v>
          </cell>
          <cell r="DP38">
            <v>11</v>
          </cell>
          <cell r="DQ38">
            <v>1</v>
          </cell>
          <cell r="DR38">
            <v>0</v>
          </cell>
          <cell r="DS38">
            <v>2</v>
          </cell>
          <cell r="DT38">
            <v>0</v>
          </cell>
          <cell r="DU38">
            <v>0</v>
          </cell>
          <cell r="DV38">
            <v>0</v>
          </cell>
          <cell r="DW38">
            <v>0</v>
          </cell>
          <cell r="DX38">
            <v>1</v>
          </cell>
          <cell r="DY38">
            <v>0</v>
          </cell>
          <cell r="DZ38">
            <v>2</v>
          </cell>
          <cell r="EA38">
            <v>0</v>
          </cell>
          <cell r="EB38">
            <v>1</v>
          </cell>
          <cell r="EC38">
            <v>2</v>
          </cell>
          <cell r="ED38">
            <v>1</v>
          </cell>
          <cell r="EE38">
            <v>1</v>
          </cell>
          <cell r="EF38">
            <v>1</v>
          </cell>
          <cell r="EG38">
            <v>2</v>
          </cell>
          <cell r="EH38">
            <v>0</v>
          </cell>
          <cell r="EI38">
            <v>0</v>
          </cell>
          <cell r="EJ38">
            <v>1</v>
          </cell>
          <cell r="EK38">
            <v>2</v>
          </cell>
          <cell r="EL38">
            <v>2</v>
          </cell>
          <cell r="EM38">
            <v>11</v>
          </cell>
          <cell r="EN38">
            <v>4</v>
          </cell>
          <cell r="EO38">
            <v>17</v>
          </cell>
          <cell r="EP38">
            <v>3</v>
          </cell>
          <cell r="EQ38">
            <v>3</v>
          </cell>
          <cell r="ER38">
            <v>1</v>
          </cell>
          <cell r="ES38">
            <v>1</v>
          </cell>
          <cell r="ET38">
            <v>3</v>
          </cell>
          <cell r="EU38">
            <v>2</v>
          </cell>
          <cell r="EV38">
            <v>1</v>
          </cell>
          <cell r="EW38">
            <v>1</v>
          </cell>
          <cell r="EX38">
            <v>1</v>
          </cell>
          <cell r="EY38">
            <v>3</v>
          </cell>
          <cell r="EZ38">
            <v>3</v>
          </cell>
          <cell r="FA38">
            <v>2</v>
          </cell>
          <cell r="FB38">
            <v>2</v>
          </cell>
          <cell r="FC38">
            <v>2</v>
          </cell>
          <cell r="FD38">
            <v>2</v>
          </cell>
          <cell r="FE38">
            <v>2</v>
          </cell>
          <cell r="FF38">
            <v>4</v>
          </cell>
          <cell r="FG38">
            <v>36</v>
          </cell>
          <cell r="FH38">
            <v>3</v>
          </cell>
          <cell r="FI38">
            <v>2</v>
          </cell>
          <cell r="FJ38">
            <v>2</v>
          </cell>
          <cell r="FK38">
            <v>3</v>
          </cell>
          <cell r="FL38">
            <v>2</v>
          </cell>
          <cell r="FM38">
            <v>2</v>
          </cell>
          <cell r="FN38">
            <v>2</v>
          </cell>
          <cell r="FO38">
            <v>4</v>
          </cell>
          <cell r="FP38">
            <v>1</v>
          </cell>
          <cell r="FQ38">
            <v>2</v>
          </cell>
          <cell r="FR38">
            <v>3</v>
          </cell>
          <cell r="FS38">
            <v>2</v>
          </cell>
          <cell r="FT38">
            <v>2</v>
          </cell>
          <cell r="FU38">
            <v>3</v>
          </cell>
          <cell r="FV38">
            <v>2</v>
          </cell>
          <cell r="FW38">
            <v>4</v>
          </cell>
          <cell r="FX38">
            <v>1</v>
          </cell>
          <cell r="FY38">
            <v>1</v>
          </cell>
          <cell r="FZ38">
            <v>3</v>
          </cell>
          <cell r="GA38">
            <v>2</v>
          </cell>
          <cell r="GB38">
            <v>2</v>
          </cell>
          <cell r="GC38">
            <v>25</v>
          </cell>
        </row>
        <row r="39">
          <cell r="A39">
            <v>916</v>
          </cell>
          <cell r="B39">
            <v>0</v>
          </cell>
          <cell r="C39">
            <v>24</v>
          </cell>
          <cell r="D39">
            <v>0</v>
          </cell>
          <cell r="E39" t="str">
            <v xml:space="preserve"> </v>
          </cell>
          <cell r="F39">
            <v>5</v>
          </cell>
          <cell r="G39">
            <v>0</v>
          </cell>
          <cell r="H39" t="str">
            <v xml:space="preserve"> </v>
          </cell>
          <cell r="I39">
            <v>3</v>
          </cell>
          <cell r="J39" t="str">
            <v xml:space="preserve"> </v>
          </cell>
          <cell r="K39">
            <v>2</v>
          </cell>
          <cell r="L39">
            <v>4</v>
          </cell>
          <cell r="M39" t="str">
            <v xml:space="preserve"> </v>
          </cell>
          <cell r="N39" t="str">
            <v>5'8</v>
          </cell>
          <cell r="O39">
            <v>141</v>
          </cell>
          <cell r="P39" t="str">
            <v>Ibuprofen once monthly</v>
          </cell>
          <cell r="Q39">
            <v>44850</v>
          </cell>
          <cell r="R39">
            <v>0</v>
          </cell>
          <cell r="S39" t="str">
            <v xml:space="preserve"> </v>
          </cell>
          <cell r="T39">
            <v>0</v>
          </cell>
          <cell r="U39" t="str">
            <v xml:space="preserve"> </v>
          </cell>
          <cell r="V39" t="str">
            <v xml:space="preserve"> </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t="str">
            <v xml:space="preserve"> </v>
          </cell>
          <cell r="AR39">
            <v>0</v>
          </cell>
          <cell r="AS39">
            <v>0</v>
          </cell>
          <cell r="AT39">
            <v>0</v>
          </cell>
          <cell r="AU39">
            <v>0</v>
          </cell>
          <cell r="AV39">
            <v>0</v>
          </cell>
          <cell r="AW39">
            <v>0</v>
          </cell>
          <cell r="AX39">
            <v>0</v>
          </cell>
          <cell r="AY39">
            <v>0</v>
          </cell>
          <cell r="AZ39">
            <v>1</v>
          </cell>
          <cell r="BA39">
            <v>2</v>
          </cell>
          <cell r="BB39">
            <v>1</v>
          </cell>
          <cell r="BC39">
            <v>20</v>
          </cell>
          <cell r="BD39">
            <v>1</v>
          </cell>
          <cell r="BE39">
            <v>0</v>
          </cell>
          <cell r="BF39">
            <v>30</v>
          </cell>
          <cell r="BG39">
            <v>6</v>
          </cell>
          <cell r="BH39">
            <v>1</v>
          </cell>
          <cell r="BI39">
            <v>30</v>
          </cell>
          <cell r="BJ39">
            <v>6</v>
          </cell>
          <cell r="BK39">
            <v>30</v>
          </cell>
          <cell r="BL39">
            <v>390</v>
          </cell>
          <cell r="BM39">
            <v>1782</v>
          </cell>
          <cell r="BN39">
            <v>120</v>
          </cell>
          <cell r="BO39">
            <v>1280</v>
          </cell>
          <cell r="BP39">
            <v>3182</v>
          </cell>
          <cell r="BQ39">
            <v>3</v>
          </cell>
          <cell r="BR39">
            <v>7</v>
          </cell>
          <cell r="BS39">
            <v>7</v>
          </cell>
          <cell r="BT39">
            <v>7</v>
          </cell>
          <cell r="BU39">
            <v>7</v>
          </cell>
          <cell r="BV39">
            <v>7</v>
          </cell>
          <cell r="BW39">
            <v>7</v>
          </cell>
          <cell r="BX39">
            <v>7</v>
          </cell>
          <cell r="BY39">
            <v>7</v>
          </cell>
          <cell r="BZ39">
            <v>7</v>
          </cell>
          <cell r="CA39">
            <v>7</v>
          </cell>
          <cell r="CB39">
            <v>7</v>
          </cell>
          <cell r="CC39">
            <v>7</v>
          </cell>
          <cell r="CD39">
            <v>7</v>
          </cell>
          <cell r="CE39">
            <v>7</v>
          </cell>
          <cell r="CF39">
            <v>7</v>
          </cell>
          <cell r="CG39">
            <v>7</v>
          </cell>
          <cell r="CH39">
            <v>9</v>
          </cell>
          <cell r="CI39">
            <v>8</v>
          </cell>
          <cell r="CJ39">
            <v>8</v>
          </cell>
          <cell r="CK39">
            <v>8</v>
          </cell>
          <cell r="CL39">
            <v>8</v>
          </cell>
          <cell r="CM39">
            <v>8</v>
          </cell>
          <cell r="CN39">
            <v>8</v>
          </cell>
          <cell r="CO39">
            <v>7</v>
          </cell>
          <cell r="CP39">
            <v>7</v>
          </cell>
          <cell r="CQ39">
            <v>7</v>
          </cell>
          <cell r="CR39">
            <v>7</v>
          </cell>
          <cell r="CS39">
            <v>7</v>
          </cell>
          <cell r="CT39">
            <v>7</v>
          </cell>
          <cell r="CU39">
            <v>8</v>
          </cell>
          <cell r="CV39">
            <v>7</v>
          </cell>
          <cell r="CW39">
            <v>8</v>
          </cell>
          <cell r="CX39">
            <v>8</v>
          </cell>
          <cell r="CY39">
            <v>8</v>
          </cell>
          <cell r="CZ39">
            <v>7</v>
          </cell>
          <cell r="DA39">
            <v>7</v>
          </cell>
          <cell r="DB39">
            <v>7</v>
          </cell>
          <cell r="DC39">
            <v>159</v>
          </cell>
          <cell r="DD39">
            <v>24</v>
          </cell>
          <cell r="DE39">
            <v>23</v>
          </cell>
          <cell r="DF39">
            <v>23</v>
          </cell>
          <cell r="DG39">
            <v>21</v>
          </cell>
          <cell r="DH39">
            <v>23</v>
          </cell>
          <cell r="DI39">
            <v>23</v>
          </cell>
          <cell r="DJ39">
            <v>22</v>
          </cell>
          <cell r="DK39">
            <v>23</v>
          </cell>
          <cell r="DL39">
            <v>29</v>
          </cell>
          <cell r="DM39">
            <v>29</v>
          </cell>
          <cell r="DN39">
            <v>22</v>
          </cell>
          <cell r="DO39">
            <v>33</v>
          </cell>
          <cell r="DP39">
            <v>23</v>
          </cell>
          <cell r="DQ39">
            <v>1</v>
          </cell>
          <cell r="DR39">
            <v>0</v>
          </cell>
          <cell r="DS39">
            <v>0</v>
          </cell>
          <cell r="DT39">
            <v>0</v>
          </cell>
          <cell r="DU39">
            <v>0</v>
          </cell>
          <cell r="DV39">
            <v>0</v>
          </cell>
          <cell r="DW39">
            <v>0</v>
          </cell>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1</v>
          </cell>
          <cell r="EO39">
            <v>1</v>
          </cell>
          <cell r="EP39">
            <v>5</v>
          </cell>
          <cell r="EQ39">
            <v>3</v>
          </cell>
          <cell r="ER39">
            <v>3</v>
          </cell>
          <cell r="ES39">
            <v>5</v>
          </cell>
          <cell r="ET39">
            <v>5</v>
          </cell>
          <cell r="EU39">
            <v>5</v>
          </cell>
          <cell r="EV39">
            <v>5</v>
          </cell>
          <cell r="EW39">
            <v>5</v>
          </cell>
          <cell r="EX39">
            <v>4</v>
          </cell>
          <cell r="EY39">
            <v>5</v>
          </cell>
          <cell r="EZ39">
            <v>5</v>
          </cell>
          <cell r="FA39">
            <v>2</v>
          </cell>
          <cell r="FB39">
            <v>5</v>
          </cell>
          <cell r="FC39">
            <v>4</v>
          </cell>
          <cell r="FD39">
            <v>1</v>
          </cell>
          <cell r="FE39">
            <v>5</v>
          </cell>
          <cell r="FF39">
            <v>1</v>
          </cell>
          <cell r="FG39">
            <v>68</v>
          </cell>
          <cell r="FH39">
            <v>4</v>
          </cell>
          <cell r="FI39">
            <v>1</v>
          </cell>
          <cell r="FJ39">
            <v>1</v>
          </cell>
          <cell r="FK39">
            <v>4</v>
          </cell>
          <cell r="FL39">
            <v>1</v>
          </cell>
          <cell r="FM39">
            <v>1</v>
          </cell>
          <cell r="FN39">
            <v>1</v>
          </cell>
          <cell r="FO39">
            <v>4</v>
          </cell>
          <cell r="FP39">
            <v>1</v>
          </cell>
          <cell r="FQ39">
            <v>1</v>
          </cell>
          <cell r="FR39">
            <v>4</v>
          </cell>
          <cell r="FS39">
            <v>1</v>
          </cell>
          <cell r="FT39">
            <v>1</v>
          </cell>
          <cell r="FU39">
            <v>4</v>
          </cell>
          <cell r="FV39">
            <v>1</v>
          </cell>
          <cell r="FW39">
            <v>4</v>
          </cell>
          <cell r="FX39">
            <v>1</v>
          </cell>
          <cell r="FY39">
            <v>1</v>
          </cell>
          <cell r="FZ39">
            <v>4</v>
          </cell>
          <cell r="GA39">
            <v>1</v>
          </cell>
          <cell r="GB39">
            <v>2</v>
          </cell>
          <cell r="GC39">
            <v>15</v>
          </cell>
        </row>
        <row r="40">
          <cell r="A40">
            <v>918</v>
          </cell>
          <cell r="B40">
            <v>2</v>
          </cell>
          <cell r="C40">
            <v>23</v>
          </cell>
          <cell r="D40">
            <v>1</v>
          </cell>
          <cell r="E40" t="str">
            <v xml:space="preserve"> </v>
          </cell>
          <cell r="F40">
            <v>5</v>
          </cell>
          <cell r="G40">
            <v>0</v>
          </cell>
          <cell r="H40" t="str">
            <v xml:space="preserve"> </v>
          </cell>
          <cell r="I40">
            <v>3</v>
          </cell>
          <cell r="J40" t="str">
            <v xml:space="preserve"> </v>
          </cell>
          <cell r="K40">
            <v>2</v>
          </cell>
          <cell r="L40">
            <v>5</v>
          </cell>
          <cell r="M40" t="str">
            <v xml:space="preserve"> </v>
          </cell>
          <cell r="N40" t="str">
            <v>5'11</v>
          </cell>
          <cell r="O40">
            <v>145</v>
          </cell>
          <cell r="P40" t="str">
            <v>Cymbalta(generic) 30mg daily - 1 month  Ferrous Fumarate 18mg daily - 2 years</v>
          </cell>
          <cell r="Q40" t="str">
            <v xml:space="preserve"> </v>
          </cell>
          <cell r="R40" t="str">
            <v xml:space="preserve"> </v>
          </cell>
          <cell r="S40" t="str">
            <v xml:space="preserve"> </v>
          </cell>
          <cell r="T40">
            <v>0</v>
          </cell>
          <cell r="U40" t="str">
            <v xml:space="preserve"> </v>
          </cell>
          <cell r="V40" t="str">
            <v xml:space="preserve"> </v>
          </cell>
          <cell r="W40">
            <v>0</v>
          </cell>
          <cell r="X40">
            <v>0</v>
          </cell>
          <cell r="Y40">
            <v>0</v>
          </cell>
          <cell r="Z40">
            <v>0</v>
          </cell>
          <cell r="AA40">
            <v>0</v>
          </cell>
          <cell r="AB40">
            <v>0</v>
          </cell>
          <cell r="AC40">
            <v>0</v>
          </cell>
          <cell r="AD40">
            <v>1</v>
          </cell>
          <cell r="AE40">
            <v>1</v>
          </cell>
          <cell r="AF40">
            <v>0</v>
          </cell>
          <cell r="AG40">
            <v>0</v>
          </cell>
          <cell r="AH40">
            <v>0</v>
          </cell>
          <cell r="AI40">
            <v>0</v>
          </cell>
          <cell r="AJ40">
            <v>0</v>
          </cell>
          <cell r="AK40">
            <v>0</v>
          </cell>
          <cell r="AL40">
            <v>0</v>
          </cell>
          <cell r="AM40">
            <v>0</v>
          </cell>
          <cell r="AN40">
            <v>0</v>
          </cell>
          <cell r="AO40">
            <v>0</v>
          </cell>
          <cell r="AP40">
            <v>0</v>
          </cell>
          <cell r="AQ40" t="str">
            <v xml:space="preserve"> </v>
          </cell>
          <cell r="AR40">
            <v>1</v>
          </cell>
          <cell r="AS40">
            <v>0</v>
          </cell>
          <cell r="AT40">
            <v>1</v>
          </cell>
          <cell r="AU40">
            <v>0</v>
          </cell>
          <cell r="AV40">
            <v>1</v>
          </cell>
          <cell r="AW40">
            <v>0</v>
          </cell>
          <cell r="AX40">
            <v>1</v>
          </cell>
          <cell r="AY40">
            <v>0</v>
          </cell>
          <cell r="AZ40">
            <v>27</v>
          </cell>
          <cell r="BA40">
            <v>4</v>
          </cell>
          <cell r="BB40">
            <v>0</v>
          </cell>
          <cell r="BC40">
            <v>30</v>
          </cell>
          <cell r="BD40">
            <v>5</v>
          </cell>
          <cell r="BE40">
            <v>1</v>
          </cell>
          <cell r="BF40">
            <v>0</v>
          </cell>
          <cell r="BG40">
            <v>7</v>
          </cell>
          <cell r="BH40">
            <v>1</v>
          </cell>
          <cell r="BI40">
            <v>0</v>
          </cell>
          <cell r="BJ40">
            <v>8</v>
          </cell>
          <cell r="BK40">
            <v>0</v>
          </cell>
          <cell r="BL40">
            <v>480</v>
          </cell>
          <cell r="BM40">
            <v>1386</v>
          </cell>
          <cell r="BN40">
            <v>1200</v>
          </cell>
          <cell r="BO40">
            <v>960</v>
          </cell>
          <cell r="BP40">
            <v>3546</v>
          </cell>
          <cell r="BQ40">
            <v>3</v>
          </cell>
          <cell r="BR40">
            <v>4</v>
          </cell>
          <cell r="BS40">
            <v>3</v>
          </cell>
          <cell r="BT40">
            <v>7</v>
          </cell>
          <cell r="BU40">
            <v>5</v>
          </cell>
          <cell r="BV40">
            <v>2</v>
          </cell>
          <cell r="BW40">
            <v>2</v>
          </cell>
          <cell r="BX40">
            <v>3</v>
          </cell>
          <cell r="BY40">
            <v>7</v>
          </cell>
          <cell r="BZ40">
            <v>1</v>
          </cell>
          <cell r="CA40">
            <v>5</v>
          </cell>
          <cell r="CB40">
            <v>6</v>
          </cell>
          <cell r="CC40">
            <v>2</v>
          </cell>
          <cell r="CD40">
            <v>3.5</v>
          </cell>
          <cell r="CE40">
            <v>6.25</v>
          </cell>
          <cell r="CF40">
            <v>2</v>
          </cell>
          <cell r="CG40">
            <v>3.9166666669999999</v>
          </cell>
          <cell r="CH40">
            <v>7</v>
          </cell>
          <cell r="CI40">
            <v>3</v>
          </cell>
          <cell r="CJ40">
            <v>7</v>
          </cell>
          <cell r="CK40">
            <v>6</v>
          </cell>
          <cell r="CL40">
            <v>1</v>
          </cell>
          <cell r="CM40">
            <v>3</v>
          </cell>
          <cell r="CN40">
            <v>6</v>
          </cell>
          <cell r="CO40">
            <v>7</v>
          </cell>
          <cell r="CP40">
            <v>5</v>
          </cell>
          <cell r="CQ40">
            <v>3</v>
          </cell>
          <cell r="CR40">
            <v>5</v>
          </cell>
          <cell r="CS40">
            <v>6</v>
          </cell>
          <cell r="CT40">
            <v>4</v>
          </cell>
          <cell r="CU40">
            <v>7</v>
          </cell>
          <cell r="CV40">
            <v>5</v>
          </cell>
          <cell r="CW40">
            <v>5</v>
          </cell>
          <cell r="CX40">
            <v>6</v>
          </cell>
          <cell r="CY40">
            <v>2</v>
          </cell>
          <cell r="CZ40">
            <v>6</v>
          </cell>
          <cell r="DA40">
            <v>6</v>
          </cell>
          <cell r="DB40">
            <v>2</v>
          </cell>
          <cell r="DC40">
            <v>102</v>
          </cell>
          <cell r="DD40">
            <v>17</v>
          </cell>
          <cell r="DE40">
            <v>9</v>
          </cell>
          <cell r="DF40">
            <v>15</v>
          </cell>
          <cell r="DG40">
            <v>15</v>
          </cell>
          <cell r="DH40">
            <v>10</v>
          </cell>
          <cell r="DI40">
            <v>18</v>
          </cell>
          <cell r="DJ40">
            <v>18</v>
          </cell>
          <cell r="DK40">
            <v>19</v>
          </cell>
          <cell r="DL40">
            <v>21</v>
          </cell>
          <cell r="DM40">
            <v>16</v>
          </cell>
          <cell r="DN40">
            <v>17</v>
          </cell>
          <cell r="DO40">
            <v>23</v>
          </cell>
          <cell r="DP40">
            <v>2</v>
          </cell>
          <cell r="DQ40">
            <v>0</v>
          </cell>
          <cell r="DR40">
            <v>3</v>
          </cell>
          <cell r="DS40">
            <v>1</v>
          </cell>
          <cell r="DT40">
            <v>3</v>
          </cell>
          <cell r="DU40">
            <v>2</v>
          </cell>
          <cell r="DV40">
            <v>1</v>
          </cell>
          <cell r="DW40">
            <v>3</v>
          </cell>
          <cell r="DX40">
            <v>3</v>
          </cell>
          <cell r="DY40">
            <v>3</v>
          </cell>
          <cell r="DZ40">
            <v>3</v>
          </cell>
          <cell r="EA40">
            <v>2</v>
          </cell>
          <cell r="EB40">
            <v>3</v>
          </cell>
          <cell r="EC40">
            <v>2</v>
          </cell>
          <cell r="ED40">
            <v>2</v>
          </cell>
          <cell r="EE40">
            <v>3</v>
          </cell>
          <cell r="EF40">
            <v>3</v>
          </cell>
          <cell r="EG40">
            <v>2</v>
          </cell>
          <cell r="EH40">
            <v>3</v>
          </cell>
          <cell r="EI40">
            <v>2</v>
          </cell>
          <cell r="EJ40">
            <v>3</v>
          </cell>
          <cell r="EK40">
            <v>12</v>
          </cell>
          <cell r="EL40">
            <v>21</v>
          </cell>
          <cell r="EM40">
            <v>16</v>
          </cell>
          <cell r="EN40">
            <v>49</v>
          </cell>
          <cell r="EO40">
            <v>2</v>
          </cell>
          <cell r="EP40">
            <v>5</v>
          </cell>
          <cell r="EQ40">
            <v>5</v>
          </cell>
          <cell r="ER40">
            <v>5</v>
          </cell>
          <cell r="ES40">
            <v>5</v>
          </cell>
          <cell r="ET40">
            <v>5</v>
          </cell>
          <cell r="EU40">
            <v>5</v>
          </cell>
          <cell r="EV40">
            <v>5</v>
          </cell>
          <cell r="EW40">
            <v>5</v>
          </cell>
          <cell r="EX40">
            <v>4</v>
          </cell>
          <cell r="EY40">
            <v>5</v>
          </cell>
          <cell r="EZ40">
            <v>5</v>
          </cell>
          <cell r="FA40">
            <v>5</v>
          </cell>
          <cell r="FB40">
            <v>1</v>
          </cell>
          <cell r="FC40">
            <v>4</v>
          </cell>
          <cell r="FD40">
            <v>1</v>
          </cell>
          <cell r="FE40">
            <v>5</v>
          </cell>
          <cell r="FF40">
            <v>4</v>
          </cell>
          <cell r="FG40">
            <v>74</v>
          </cell>
          <cell r="FH40">
            <v>1</v>
          </cell>
          <cell r="FI40">
            <v>4</v>
          </cell>
          <cell r="FJ40">
            <v>2</v>
          </cell>
          <cell r="FK40">
            <v>1</v>
          </cell>
          <cell r="FL40">
            <v>4</v>
          </cell>
          <cell r="FM40">
            <v>3</v>
          </cell>
          <cell r="FN40">
            <v>3</v>
          </cell>
          <cell r="FO40">
            <v>2</v>
          </cell>
          <cell r="FP40">
            <v>3</v>
          </cell>
          <cell r="FQ40">
            <v>4</v>
          </cell>
          <cell r="FR40">
            <v>3</v>
          </cell>
          <cell r="FS40">
            <v>2</v>
          </cell>
          <cell r="FT40">
            <v>4</v>
          </cell>
          <cell r="FU40">
            <v>2</v>
          </cell>
          <cell r="FV40">
            <v>3</v>
          </cell>
          <cell r="FW40">
            <v>1</v>
          </cell>
          <cell r="FX40">
            <v>4</v>
          </cell>
          <cell r="FY40">
            <v>4</v>
          </cell>
          <cell r="FZ40">
            <v>3</v>
          </cell>
          <cell r="GA40">
            <v>2</v>
          </cell>
          <cell r="GB40">
            <v>3</v>
          </cell>
          <cell r="GC40">
            <v>45</v>
          </cell>
        </row>
        <row r="41">
          <cell r="A41">
            <v>921</v>
          </cell>
          <cell r="B41">
            <v>0</v>
          </cell>
          <cell r="C41">
            <v>36</v>
          </cell>
          <cell r="D41">
            <v>0</v>
          </cell>
          <cell r="E41" t="str">
            <v xml:space="preserve"> </v>
          </cell>
          <cell r="F41">
            <v>1</v>
          </cell>
          <cell r="G41">
            <v>1</v>
          </cell>
          <cell r="H41">
            <v>4</v>
          </cell>
          <cell r="I41">
            <v>2</v>
          </cell>
          <cell r="J41" t="str">
            <v>Respiratory Therapist</v>
          </cell>
          <cell r="K41">
            <v>2</v>
          </cell>
          <cell r="L41">
            <v>6</v>
          </cell>
          <cell r="M41" t="str">
            <v xml:space="preserve"> </v>
          </cell>
          <cell r="N41" t="str">
            <v>5'6</v>
          </cell>
          <cell r="O41">
            <v>195</v>
          </cell>
          <cell r="P41" t="str">
            <v>none at this time</v>
          </cell>
          <cell r="Q41">
            <v>44831</v>
          </cell>
          <cell r="R41">
            <v>0</v>
          </cell>
          <cell r="S41" t="str">
            <v xml:space="preserve"> </v>
          </cell>
          <cell r="T41">
            <v>0</v>
          </cell>
          <cell r="U41" t="str">
            <v xml:space="preserve"> </v>
          </cell>
          <cell r="V41" t="str">
            <v xml:space="preserve"> </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t="str">
            <v xml:space="preserve"> </v>
          </cell>
          <cell r="AR41">
            <v>0</v>
          </cell>
          <cell r="AS41">
            <v>0</v>
          </cell>
          <cell r="AT41">
            <v>0</v>
          </cell>
          <cell r="AU41">
            <v>0</v>
          </cell>
          <cell r="AV41">
            <v>0</v>
          </cell>
          <cell r="AW41">
            <v>0</v>
          </cell>
          <cell r="AX41">
            <v>0</v>
          </cell>
          <cell r="AY41">
            <v>0</v>
          </cell>
          <cell r="AZ41">
            <v>0</v>
          </cell>
          <cell r="BA41">
            <v>2</v>
          </cell>
          <cell r="BB41">
            <v>1</v>
          </cell>
          <cell r="BC41">
            <v>30</v>
          </cell>
          <cell r="BD41">
            <v>2</v>
          </cell>
          <cell r="BE41">
            <v>6</v>
          </cell>
          <cell r="BF41">
            <v>0</v>
          </cell>
          <cell r="BG41">
            <v>7</v>
          </cell>
          <cell r="BH41">
            <v>2</v>
          </cell>
          <cell r="BI41">
            <v>0</v>
          </cell>
          <cell r="BJ41">
            <v>5</v>
          </cell>
          <cell r="BK41">
            <v>30</v>
          </cell>
          <cell r="BL41">
            <v>330</v>
          </cell>
          <cell r="BM41">
            <v>2772</v>
          </cell>
          <cell r="BN41">
            <v>2880</v>
          </cell>
          <cell r="BO41">
            <v>1440</v>
          </cell>
          <cell r="BP41">
            <v>7092</v>
          </cell>
          <cell r="BQ41">
            <v>3</v>
          </cell>
          <cell r="BR41">
            <v>7</v>
          </cell>
          <cell r="BS41">
            <v>7</v>
          </cell>
          <cell r="BT41">
            <v>5</v>
          </cell>
          <cell r="BU41">
            <v>7</v>
          </cell>
          <cell r="BV41">
            <v>7</v>
          </cell>
          <cell r="BW41">
            <v>4</v>
          </cell>
          <cell r="BX41">
            <v>4</v>
          </cell>
          <cell r="BY41">
            <v>6</v>
          </cell>
          <cell r="BZ41">
            <v>6</v>
          </cell>
          <cell r="CA41">
            <v>7</v>
          </cell>
          <cell r="CB41">
            <v>6</v>
          </cell>
          <cell r="CC41">
            <v>5</v>
          </cell>
          <cell r="CD41">
            <v>7</v>
          </cell>
          <cell r="CE41">
            <v>6</v>
          </cell>
          <cell r="CF41">
            <v>4.75</v>
          </cell>
          <cell r="CG41">
            <v>5.9166666670000003</v>
          </cell>
          <cell r="CH41">
            <v>6</v>
          </cell>
          <cell r="CI41">
            <v>8</v>
          </cell>
          <cell r="CJ41">
            <v>8</v>
          </cell>
          <cell r="CK41">
            <v>8</v>
          </cell>
          <cell r="CL41">
            <v>7</v>
          </cell>
          <cell r="CM41">
            <v>8</v>
          </cell>
          <cell r="CN41">
            <v>7</v>
          </cell>
          <cell r="CO41">
            <v>8</v>
          </cell>
          <cell r="CP41">
            <v>8</v>
          </cell>
          <cell r="CQ41">
            <v>9</v>
          </cell>
          <cell r="CR41">
            <v>8</v>
          </cell>
          <cell r="CS41">
            <v>8</v>
          </cell>
          <cell r="CT41">
            <v>9</v>
          </cell>
          <cell r="CU41">
            <v>7</v>
          </cell>
          <cell r="CV41">
            <v>8</v>
          </cell>
          <cell r="CW41">
            <v>8</v>
          </cell>
          <cell r="CX41">
            <v>9</v>
          </cell>
          <cell r="CY41">
            <v>8</v>
          </cell>
          <cell r="CZ41">
            <v>7</v>
          </cell>
          <cell r="DA41">
            <v>7</v>
          </cell>
          <cell r="DB41">
            <v>7</v>
          </cell>
          <cell r="DC41">
            <v>163</v>
          </cell>
          <cell r="DD41">
            <v>22</v>
          </cell>
          <cell r="DE41">
            <v>25</v>
          </cell>
          <cell r="DF41">
            <v>22</v>
          </cell>
          <cell r="DG41">
            <v>25</v>
          </cell>
          <cell r="DH41">
            <v>22</v>
          </cell>
          <cell r="DI41">
            <v>23</v>
          </cell>
          <cell r="DJ41">
            <v>24</v>
          </cell>
          <cell r="DK41">
            <v>23</v>
          </cell>
          <cell r="DL41">
            <v>31</v>
          </cell>
          <cell r="DM41">
            <v>30</v>
          </cell>
          <cell r="DN41">
            <v>24</v>
          </cell>
          <cell r="DO41">
            <v>31</v>
          </cell>
          <cell r="DP41">
            <v>24</v>
          </cell>
          <cell r="DQ41">
            <v>0</v>
          </cell>
          <cell r="DR41">
            <v>2</v>
          </cell>
          <cell r="DS41">
            <v>1</v>
          </cell>
          <cell r="DT41">
            <v>0</v>
          </cell>
          <cell r="DU41">
            <v>1</v>
          </cell>
          <cell r="DV41">
            <v>1</v>
          </cell>
          <cell r="DW41">
            <v>0</v>
          </cell>
          <cell r="DX41">
            <v>0</v>
          </cell>
          <cell r="DY41">
            <v>0</v>
          </cell>
          <cell r="DZ41">
            <v>1</v>
          </cell>
          <cell r="EA41">
            <v>0</v>
          </cell>
          <cell r="EB41">
            <v>1</v>
          </cell>
          <cell r="EC41">
            <v>1</v>
          </cell>
          <cell r="ED41">
            <v>1</v>
          </cell>
          <cell r="EE41">
            <v>0</v>
          </cell>
          <cell r="EF41">
            <v>0</v>
          </cell>
          <cell r="EG41">
            <v>0</v>
          </cell>
          <cell r="EH41">
            <v>0</v>
          </cell>
          <cell r="EI41">
            <v>0</v>
          </cell>
          <cell r="EJ41">
            <v>0</v>
          </cell>
          <cell r="EK41">
            <v>0</v>
          </cell>
          <cell r="EL41">
            <v>2</v>
          </cell>
          <cell r="EM41">
            <v>4</v>
          </cell>
          <cell r="EN41">
            <v>3</v>
          </cell>
          <cell r="EO41">
            <v>9</v>
          </cell>
          <cell r="EP41">
            <v>1</v>
          </cell>
          <cell r="EQ41">
            <v>3</v>
          </cell>
          <cell r="ER41">
            <v>1</v>
          </cell>
          <cell r="ES41">
            <v>3</v>
          </cell>
          <cell r="ET41">
            <v>4</v>
          </cell>
          <cell r="EU41">
            <v>3</v>
          </cell>
          <cell r="EV41">
            <v>3</v>
          </cell>
          <cell r="EW41">
            <v>5</v>
          </cell>
          <cell r="EX41">
            <v>5</v>
          </cell>
          <cell r="EY41">
            <v>1</v>
          </cell>
          <cell r="EZ41">
            <v>5</v>
          </cell>
          <cell r="FA41">
            <v>3</v>
          </cell>
          <cell r="FB41">
            <v>3</v>
          </cell>
          <cell r="FC41">
            <v>4</v>
          </cell>
          <cell r="FD41">
            <v>2</v>
          </cell>
          <cell r="FE41">
            <v>3</v>
          </cell>
          <cell r="FF41">
            <v>4</v>
          </cell>
          <cell r="FG41">
            <v>53</v>
          </cell>
          <cell r="FH41">
            <v>3</v>
          </cell>
          <cell r="FI41">
            <v>2</v>
          </cell>
          <cell r="FJ41">
            <v>2</v>
          </cell>
          <cell r="FK41">
            <v>3</v>
          </cell>
          <cell r="FL41">
            <v>2</v>
          </cell>
          <cell r="FM41">
            <v>2</v>
          </cell>
          <cell r="FN41">
            <v>1</v>
          </cell>
          <cell r="FO41">
            <v>4</v>
          </cell>
          <cell r="FP41">
            <v>1</v>
          </cell>
          <cell r="FQ41">
            <v>2</v>
          </cell>
          <cell r="FR41">
            <v>3</v>
          </cell>
          <cell r="FS41">
            <v>2</v>
          </cell>
          <cell r="FT41">
            <v>2</v>
          </cell>
          <cell r="FU41">
            <v>3</v>
          </cell>
          <cell r="FV41">
            <v>2</v>
          </cell>
          <cell r="FW41">
            <v>3</v>
          </cell>
          <cell r="FX41">
            <v>2</v>
          </cell>
          <cell r="FY41">
            <v>2</v>
          </cell>
          <cell r="FZ41">
            <v>3</v>
          </cell>
          <cell r="GA41">
            <v>2</v>
          </cell>
          <cell r="GB41">
            <v>1</v>
          </cell>
          <cell r="GC41">
            <v>25</v>
          </cell>
        </row>
        <row r="42">
          <cell r="A42">
            <v>931</v>
          </cell>
          <cell r="B42">
            <v>2</v>
          </cell>
          <cell r="C42">
            <v>18</v>
          </cell>
          <cell r="D42">
            <v>1</v>
          </cell>
          <cell r="E42" t="str">
            <v xml:space="preserve"> </v>
          </cell>
          <cell r="F42">
            <v>5</v>
          </cell>
          <cell r="G42">
            <v>0</v>
          </cell>
          <cell r="H42" t="str">
            <v xml:space="preserve"> </v>
          </cell>
          <cell r="I42">
            <v>5</v>
          </cell>
          <cell r="J42" t="str">
            <v>Maintenance Staff</v>
          </cell>
          <cell r="K42">
            <v>2</v>
          </cell>
          <cell r="L42">
            <v>5</v>
          </cell>
          <cell r="M42" t="str">
            <v xml:space="preserve"> </v>
          </cell>
          <cell r="N42" t="str">
            <v>5' 8</v>
          </cell>
          <cell r="O42">
            <v>150</v>
          </cell>
          <cell r="P42" t="str">
            <v>Zoloft 100mg since december 2021</v>
          </cell>
          <cell r="Q42" t="str">
            <v xml:space="preserve"> </v>
          </cell>
          <cell r="R42" t="str">
            <v xml:space="preserve"> </v>
          </cell>
          <cell r="S42" t="str">
            <v xml:space="preserve"> </v>
          </cell>
          <cell r="T42">
            <v>0</v>
          </cell>
          <cell r="U42" t="str">
            <v xml:space="preserve"> </v>
          </cell>
          <cell r="V42" t="str">
            <v xml:space="preserve"> </v>
          </cell>
          <cell r="W42">
            <v>0</v>
          </cell>
          <cell r="X42">
            <v>0</v>
          </cell>
          <cell r="Y42">
            <v>0</v>
          </cell>
          <cell r="Z42">
            <v>0</v>
          </cell>
          <cell r="AA42">
            <v>0</v>
          </cell>
          <cell r="AB42">
            <v>0</v>
          </cell>
          <cell r="AC42">
            <v>0</v>
          </cell>
          <cell r="AD42">
            <v>1</v>
          </cell>
          <cell r="AE42">
            <v>1</v>
          </cell>
          <cell r="AF42">
            <v>0</v>
          </cell>
          <cell r="AG42">
            <v>0</v>
          </cell>
          <cell r="AH42">
            <v>0</v>
          </cell>
          <cell r="AI42">
            <v>0</v>
          </cell>
          <cell r="AJ42">
            <v>0</v>
          </cell>
          <cell r="AK42">
            <v>0</v>
          </cell>
          <cell r="AL42">
            <v>0</v>
          </cell>
          <cell r="AM42">
            <v>0</v>
          </cell>
          <cell r="AN42">
            <v>0</v>
          </cell>
          <cell r="AO42">
            <v>0</v>
          </cell>
          <cell r="AP42">
            <v>1</v>
          </cell>
          <cell r="AQ42" t="str">
            <v>Post-Tra</v>
          </cell>
          <cell r="AR42">
            <v>0</v>
          </cell>
          <cell r="AS42">
            <v>0</v>
          </cell>
          <cell r="AT42">
            <v>0</v>
          </cell>
          <cell r="AU42">
            <v>0</v>
          </cell>
          <cell r="AV42">
            <v>1</v>
          </cell>
          <cell r="AW42">
            <v>0</v>
          </cell>
          <cell r="AX42">
            <v>1</v>
          </cell>
          <cell r="AY42">
            <v>0</v>
          </cell>
          <cell r="AZ42">
            <v>15</v>
          </cell>
          <cell r="BA42">
            <v>3</v>
          </cell>
          <cell r="BB42">
            <v>2</v>
          </cell>
          <cell r="BC42">
            <v>0</v>
          </cell>
          <cell r="BD42">
            <v>5</v>
          </cell>
          <cell r="BE42">
            <v>1</v>
          </cell>
          <cell r="BF42">
            <v>30</v>
          </cell>
          <cell r="BG42">
            <v>7</v>
          </cell>
          <cell r="BH42">
            <v>2</v>
          </cell>
          <cell r="BI42">
            <v>0</v>
          </cell>
          <cell r="BJ42">
            <v>9</v>
          </cell>
          <cell r="BK42">
            <v>0</v>
          </cell>
          <cell r="BL42">
            <v>540</v>
          </cell>
          <cell r="BM42">
            <v>2772</v>
          </cell>
          <cell r="BN42">
            <v>1800</v>
          </cell>
          <cell r="BO42">
            <v>2880</v>
          </cell>
          <cell r="BP42">
            <v>7452</v>
          </cell>
          <cell r="BQ42">
            <v>3</v>
          </cell>
          <cell r="BR42">
            <v>7</v>
          </cell>
          <cell r="BS42">
            <v>6</v>
          </cell>
          <cell r="BT42">
            <v>4</v>
          </cell>
          <cell r="BU42">
            <v>3</v>
          </cell>
          <cell r="BV42">
            <v>7</v>
          </cell>
          <cell r="BW42">
            <v>7</v>
          </cell>
          <cell r="BX42">
            <v>7</v>
          </cell>
          <cell r="BY42">
            <v>2</v>
          </cell>
          <cell r="BZ42">
            <v>7</v>
          </cell>
          <cell r="CA42">
            <v>7</v>
          </cell>
          <cell r="CB42">
            <v>5</v>
          </cell>
          <cell r="CC42">
            <v>7</v>
          </cell>
          <cell r="CD42">
            <v>6.75</v>
          </cell>
          <cell r="CE42">
            <v>3.5</v>
          </cell>
          <cell r="CF42">
            <v>7</v>
          </cell>
          <cell r="CG42">
            <v>5.75</v>
          </cell>
          <cell r="CH42">
            <v>9</v>
          </cell>
          <cell r="CI42">
            <v>8</v>
          </cell>
          <cell r="CJ42">
            <v>9</v>
          </cell>
          <cell r="CK42">
            <v>9</v>
          </cell>
          <cell r="CL42">
            <v>6</v>
          </cell>
          <cell r="CM42">
            <v>9</v>
          </cell>
          <cell r="CN42">
            <v>9</v>
          </cell>
          <cell r="CO42">
            <v>7</v>
          </cell>
          <cell r="CP42">
            <v>9</v>
          </cell>
          <cell r="CQ42">
            <v>7</v>
          </cell>
          <cell r="CR42">
            <v>9</v>
          </cell>
          <cell r="CS42">
            <v>5</v>
          </cell>
          <cell r="CT42">
            <v>9</v>
          </cell>
          <cell r="CU42">
            <v>9</v>
          </cell>
          <cell r="CV42">
            <v>5</v>
          </cell>
          <cell r="CW42">
            <v>9</v>
          </cell>
          <cell r="CX42">
            <v>7</v>
          </cell>
          <cell r="CY42">
            <v>9</v>
          </cell>
          <cell r="CZ42">
            <v>8</v>
          </cell>
          <cell r="DA42">
            <v>8</v>
          </cell>
          <cell r="DB42">
            <v>9</v>
          </cell>
          <cell r="DC42">
            <v>169</v>
          </cell>
          <cell r="DD42">
            <v>27</v>
          </cell>
          <cell r="DE42">
            <v>27</v>
          </cell>
          <cell r="DF42">
            <v>27</v>
          </cell>
          <cell r="DG42">
            <v>19</v>
          </cell>
          <cell r="DH42">
            <v>22</v>
          </cell>
          <cell r="DI42">
            <v>27</v>
          </cell>
          <cell r="DJ42">
            <v>20</v>
          </cell>
          <cell r="DK42">
            <v>23</v>
          </cell>
          <cell r="DL42">
            <v>35</v>
          </cell>
          <cell r="DM42">
            <v>30</v>
          </cell>
          <cell r="DN42">
            <v>25</v>
          </cell>
          <cell r="DO42">
            <v>34</v>
          </cell>
          <cell r="DP42">
            <v>22</v>
          </cell>
          <cell r="DQ42">
            <v>2</v>
          </cell>
          <cell r="DR42">
            <v>2</v>
          </cell>
          <cell r="DS42">
            <v>1</v>
          </cell>
          <cell r="DT42">
            <v>1</v>
          </cell>
          <cell r="DU42">
            <v>2</v>
          </cell>
          <cell r="DV42">
            <v>1</v>
          </cell>
          <cell r="DW42">
            <v>3</v>
          </cell>
          <cell r="DX42">
            <v>2</v>
          </cell>
          <cell r="DY42">
            <v>0</v>
          </cell>
          <cell r="DZ42">
            <v>1</v>
          </cell>
          <cell r="EA42">
            <v>1</v>
          </cell>
          <cell r="EB42">
            <v>2</v>
          </cell>
          <cell r="EC42">
            <v>2</v>
          </cell>
          <cell r="ED42">
            <v>1</v>
          </cell>
          <cell r="EE42">
            <v>1</v>
          </cell>
          <cell r="EF42">
            <v>0</v>
          </cell>
          <cell r="EG42">
            <v>1</v>
          </cell>
          <cell r="EH42">
            <v>0</v>
          </cell>
          <cell r="EI42">
            <v>2</v>
          </cell>
          <cell r="EJ42">
            <v>0</v>
          </cell>
          <cell r="EK42">
            <v>2</v>
          </cell>
          <cell r="EL42">
            <v>9</v>
          </cell>
          <cell r="EM42">
            <v>9</v>
          </cell>
          <cell r="EN42">
            <v>9</v>
          </cell>
          <cell r="EO42">
            <v>27</v>
          </cell>
          <cell r="EP42">
            <v>5</v>
          </cell>
          <cell r="EQ42">
            <v>5</v>
          </cell>
          <cell r="ER42">
            <v>5</v>
          </cell>
          <cell r="ES42">
            <v>5</v>
          </cell>
          <cell r="ET42">
            <v>5</v>
          </cell>
          <cell r="EU42">
            <v>5</v>
          </cell>
          <cell r="EV42">
            <v>5</v>
          </cell>
          <cell r="EW42">
            <v>1</v>
          </cell>
          <cell r="EX42">
            <v>1</v>
          </cell>
          <cell r="EY42">
            <v>5</v>
          </cell>
          <cell r="EZ42">
            <v>5</v>
          </cell>
          <cell r="FA42">
            <v>5</v>
          </cell>
          <cell r="FB42">
            <v>5</v>
          </cell>
          <cell r="FC42">
            <v>4</v>
          </cell>
          <cell r="FD42">
            <v>4</v>
          </cell>
          <cell r="FE42">
            <v>5</v>
          </cell>
          <cell r="FF42">
            <v>5</v>
          </cell>
          <cell r="FG42">
            <v>75</v>
          </cell>
          <cell r="FH42">
            <v>3</v>
          </cell>
          <cell r="FI42">
            <v>2</v>
          </cell>
          <cell r="FJ42">
            <v>1</v>
          </cell>
          <cell r="FK42">
            <v>3</v>
          </cell>
          <cell r="FL42">
            <v>2</v>
          </cell>
          <cell r="FM42">
            <v>1</v>
          </cell>
          <cell r="FN42">
            <v>2</v>
          </cell>
          <cell r="FO42">
            <v>4</v>
          </cell>
          <cell r="FP42">
            <v>1</v>
          </cell>
          <cell r="FQ42">
            <v>1</v>
          </cell>
          <cell r="FR42">
            <v>3</v>
          </cell>
          <cell r="FS42">
            <v>2</v>
          </cell>
          <cell r="FT42">
            <v>4</v>
          </cell>
          <cell r="FU42">
            <v>3</v>
          </cell>
          <cell r="FV42">
            <v>2</v>
          </cell>
          <cell r="FW42">
            <v>4</v>
          </cell>
          <cell r="FX42">
            <v>1</v>
          </cell>
          <cell r="FY42">
            <v>1</v>
          </cell>
          <cell r="FZ42">
            <v>4</v>
          </cell>
          <cell r="GA42">
            <v>1</v>
          </cell>
          <cell r="GB42">
            <v>1</v>
          </cell>
          <cell r="GC42">
            <v>22</v>
          </cell>
        </row>
        <row r="43">
          <cell r="A43">
            <v>932</v>
          </cell>
          <cell r="B43">
            <v>1</v>
          </cell>
          <cell r="C43">
            <v>22</v>
          </cell>
          <cell r="D43">
            <v>0</v>
          </cell>
          <cell r="E43" t="str">
            <v xml:space="preserve"> </v>
          </cell>
          <cell r="F43">
            <v>5</v>
          </cell>
          <cell r="G43">
            <v>1</v>
          </cell>
          <cell r="H43">
            <v>1</v>
          </cell>
          <cell r="I43">
            <v>0</v>
          </cell>
          <cell r="J43" t="str">
            <v xml:space="preserve"> </v>
          </cell>
          <cell r="K43">
            <v>1</v>
          </cell>
          <cell r="L43">
            <v>6</v>
          </cell>
          <cell r="M43" t="str">
            <v xml:space="preserve"> </v>
          </cell>
          <cell r="N43" t="str">
            <v>5'3</v>
          </cell>
          <cell r="O43">
            <v>115</v>
          </cell>
          <cell r="P43" t="str">
            <v>Lexapro 10 mg  Adderall 15mg</v>
          </cell>
          <cell r="Q43">
            <v>44826</v>
          </cell>
          <cell r="R43">
            <v>0</v>
          </cell>
          <cell r="S43" t="str">
            <v xml:space="preserve"> </v>
          </cell>
          <cell r="T43">
            <v>1</v>
          </cell>
          <cell r="U43">
            <v>10</v>
          </cell>
          <cell r="V43">
            <v>5</v>
          </cell>
          <cell r="W43">
            <v>1</v>
          </cell>
          <cell r="X43">
            <v>0</v>
          </cell>
          <cell r="Y43">
            <v>0</v>
          </cell>
          <cell r="Z43">
            <v>0</v>
          </cell>
          <cell r="AA43">
            <v>0</v>
          </cell>
          <cell r="AB43">
            <v>0</v>
          </cell>
          <cell r="AC43">
            <v>0</v>
          </cell>
          <cell r="AD43">
            <v>1</v>
          </cell>
          <cell r="AE43">
            <v>1</v>
          </cell>
          <cell r="AF43">
            <v>0</v>
          </cell>
          <cell r="AG43">
            <v>0</v>
          </cell>
          <cell r="AH43">
            <v>0</v>
          </cell>
          <cell r="AI43">
            <v>0</v>
          </cell>
          <cell r="AJ43">
            <v>0</v>
          </cell>
          <cell r="AK43">
            <v>0</v>
          </cell>
          <cell r="AL43">
            <v>0</v>
          </cell>
          <cell r="AM43">
            <v>0</v>
          </cell>
          <cell r="AN43">
            <v>0</v>
          </cell>
          <cell r="AO43">
            <v>0</v>
          </cell>
          <cell r="AP43">
            <v>0</v>
          </cell>
          <cell r="AQ43" t="str">
            <v xml:space="preserve"> </v>
          </cell>
          <cell r="AR43">
            <v>1</v>
          </cell>
          <cell r="AS43">
            <v>0</v>
          </cell>
          <cell r="AT43">
            <v>0</v>
          </cell>
          <cell r="AU43">
            <v>0</v>
          </cell>
          <cell r="AV43">
            <v>0</v>
          </cell>
          <cell r="AW43">
            <v>0</v>
          </cell>
          <cell r="AX43">
            <v>1</v>
          </cell>
          <cell r="AY43">
            <v>0</v>
          </cell>
          <cell r="AZ43">
            <v>25</v>
          </cell>
          <cell r="BA43">
            <v>0</v>
          </cell>
          <cell r="BB43" t="str">
            <v xml:space="preserve"> </v>
          </cell>
          <cell r="BC43" t="str">
            <v xml:space="preserve"> </v>
          </cell>
          <cell r="BD43">
            <v>0</v>
          </cell>
          <cell r="BE43" t="str">
            <v xml:space="preserve"> </v>
          </cell>
          <cell r="BF43" t="str">
            <v xml:space="preserve"> </v>
          </cell>
          <cell r="BG43">
            <v>0</v>
          </cell>
          <cell r="BH43" t="str">
            <v xml:space="preserve"> </v>
          </cell>
          <cell r="BI43" t="str">
            <v xml:space="preserve"> </v>
          </cell>
          <cell r="BJ43">
            <v>8</v>
          </cell>
          <cell r="BK43">
            <v>0</v>
          </cell>
          <cell r="BL43">
            <v>480</v>
          </cell>
          <cell r="BM43">
            <v>0</v>
          </cell>
          <cell r="BN43">
            <v>0</v>
          </cell>
          <cell r="BO43">
            <v>0</v>
          </cell>
          <cell r="BP43">
            <v>0</v>
          </cell>
          <cell r="BQ43">
            <v>1</v>
          </cell>
          <cell r="BR43">
            <v>6</v>
          </cell>
          <cell r="BS43">
            <v>7</v>
          </cell>
          <cell r="BT43">
            <v>7</v>
          </cell>
          <cell r="BU43">
            <v>7</v>
          </cell>
          <cell r="BV43">
            <v>7</v>
          </cell>
          <cell r="BW43">
            <v>6</v>
          </cell>
          <cell r="BX43">
            <v>6</v>
          </cell>
          <cell r="BY43">
            <v>5</v>
          </cell>
          <cell r="BZ43">
            <v>2</v>
          </cell>
          <cell r="CA43">
            <v>7</v>
          </cell>
          <cell r="CB43">
            <v>6</v>
          </cell>
          <cell r="CC43">
            <v>2</v>
          </cell>
          <cell r="CD43">
            <v>6.75</v>
          </cell>
          <cell r="CE43">
            <v>6.25</v>
          </cell>
          <cell r="CF43">
            <v>4</v>
          </cell>
          <cell r="CG43">
            <v>5.6666666670000003</v>
          </cell>
          <cell r="CH43">
            <v>4</v>
          </cell>
          <cell r="CI43">
            <v>2</v>
          </cell>
          <cell r="CJ43">
            <v>9</v>
          </cell>
          <cell r="CK43">
            <v>7</v>
          </cell>
          <cell r="CL43">
            <v>3</v>
          </cell>
          <cell r="CM43">
            <v>7</v>
          </cell>
          <cell r="CN43">
            <v>7</v>
          </cell>
          <cell r="CO43">
            <v>8</v>
          </cell>
          <cell r="CP43">
            <v>8</v>
          </cell>
          <cell r="CQ43">
            <v>8</v>
          </cell>
          <cell r="CR43">
            <v>5</v>
          </cell>
          <cell r="CS43">
            <v>7</v>
          </cell>
          <cell r="CT43">
            <v>8</v>
          </cell>
          <cell r="CU43">
            <v>7</v>
          </cell>
          <cell r="CV43">
            <v>6</v>
          </cell>
          <cell r="CW43">
            <v>7</v>
          </cell>
          <cell r="CX43">
            <v>8</v>
          </cell>
          <cell r="CY43">
            <v>5</v>
          </cell>
          <cell r="CZ43">
            <v>5</v>
          </cell>
          <cell r="DA43">
            <v>7</v>
          </cell>
          <cell r="DB43">
            <v>8</v>
          </cell>
          <cell r="DC43">
            <v>136</v>
          </cell>
          <cell r="DD43">
            <v>19</v>
          </cell>
          <cell r="DE43">
            <v>20</v>
          </cell>
          <cell r="DF43">
            <v>24</v>
          </cell>
          <cell r="DG43">
            <v>22</v>
          </cell>
          <cell r="DH43">
            <v>12</v>
          </cell>
          <cell r="DI43">
            <v>19</v>
          </cell>
          <cell r="DJ43">
            <v>20</v>
          </cell>
          <cell r="DK43">
            <v>21</v>
          </cell>
          <cell r="DL43">
            <v>28</v>
          </cell>
          <cell r="DM43">
            <v>23</v>
          </cell>
          <cell r="DN43">
            <v>20</v>
          </cell>
          <cell r="DO43">
            <v>28</v>
          </cell>
          <cell r="DP43">
            <v>16</v>
          </cell>
          <cell r="DQ43">
            <v>0</v>
          </cell>
          <cell r="DR43">
            <v>0</v>
          </cell>
          <cell r="DS43">
            <v>1</v>
          </cell>
          <cell r="DT43">
            <v>0</v>
          </cell>
          <cell r="DU43">
            <v>3</v>
          </cell>
          <cell r="DV43">
            <v>1</v>
          </cell>
          <cell r="DW43">
            <v>1</v>
          </cell>
          <cell r="DX43">
            <v>1</v>
          </cell>
          <cell r="DY43">
            <v>0</v>
          </cell>
          <cell r="DZ43">
            <v>3</v>
          </cell>
          <cell r="EA43">
            <v>2</v>
          </cell>
          <cell r="EB43">
            <v>1</v>
          </cell>
          <cell r="EC43">
            <v>3</v>
          </cell>
          <cell r="ED43">
            <v>3</v>
          </cell>
          <cell r="EE43">
            <v>0</v>
          </cell>
          <cell r="EF43">
            <v>2</v>
          </cell>
          <cell r="EG43">
            <v>2</v>
          </cell>
          <cell r="EH43">
            <v>2</v>
          </cell>
          <cell r="EI43">
            <v>1</v>
          </cell>
          <cell r="EJ43">
            <v>0</v>
          </cell>
          <cell r="EK43">
            <v>1</v>
          </cell>
          <cell r="EL43">
            <v>2</v>
          </cell>
          <cell r="EM43">
            <v>15</v>
          </cell>
          <cell r="EN43">
            <v>10</v>
          </cell>
          <cell r="EO43">
            <v>27</v>
          </cell>
          <cell r="EP43">
            <v>1</v>
          </cell>
          <cell r="EQ43">
            <v>5</v>
          </cell>
          <cell r="ER43">
            <v>1</v>
          </cell>
          <cell r="ES43">
            <v>5</v>
          </cell>
          <cell r="ET43">
            <v>5</v>
          </cell>
          <cell r="EU43">
            <v>2</v>
          </cell>
          <cell r="EV43">
            <v>5</v>
          </cell>
          <cell r="EW43">
            <v>1</v>
          </cell>
          <cell r="EX43">
            <v>1</v>
          </cell>
          <cell r="EY43">
            <v>5</v>
          </cell>
          <cell r="EZ43">
            <v>5</v>
          </cell>
          <cell r="FA43">
            <v>2</v>
          </cell>
          <cell r="FB43">
            <v>5</v>
          </cell>
          <cell r="FC43">
            <v>4</v>
          </cell>
          <cell r="FD43">
            <v>1</v>
          </cell>
          <cell r="FE43">
            <v>5</v>
          </cell>
          <cell r="FF43">
            <v>1</v>
          </cell>
          <cell r="FG43">
            <v>54</v>
          </cell>
          <cell r="FH43">
            <v>4</v>
          </cell>
          <cell r="FI43">
            <v>1</v>
          </cell>
          <cell r="FJ43">
            <v>2</v>
          </cell>
          <cell r="FK43">
            <v>2</v>
          </cell>
          <cell r="FL43">
            <v>3</v>
          </cell>
          <cell r="FM43">
            <v>2</v>
          </cell>
          <cell r="FN43">
            <v>2</v>
          </cell>
          <cell r="FO43">
            <v>3</v>
          </cell>
          <cell r="FP43">
            <v>2</v>
          </cell>
          <cell r="FQ43">
            <v>3</v>
          </cell>
          <cell r="FR43">
            <v>3</v>
          </cell>
          <cell r="FS43">
            <v>2</v>
          </cell>
          <cell r="FT43">
            <v>2</v>
          </cell>
          <cell r="FU43">
            <v>3</v>
          </cell>
          <cell r="FV43">
            <v>2</v>
          </cell>
          <cell r="FW43">
            <v>2</v>
          </cell>
          <cell r="FX43">
            <v>3</v>
          </cell>
          <cell r="FY43">
            <v>2</v>
          </cell>
          <cell r="FZ43">
            <v>3</v>
          </cell>
          <cell r="GA43">
            <v>2</v>
          </cell>
          <cell r="GB43">
            <v>2</v>
          </cell>
          <cell r="GC43">
            <v>30</v>
          </cell>
        </row>
        <row r="44">
          <cell r="A44">
            <v>936</v>
          </cell>
          <cell r="B44">
            <v>2</v>
          </cell>
          <cell r="C44">
            <v>41</v>
          </cell>
          <cell r="D44">
            <v>0</v>
          </cell>
          <cell r="E44" t="str">
            <v xml:space="preserve"> </v>
          </cell>
          <cell r="F44">
            <v>5</v>
          </cell>
          <cell r="G44">
            <v>0</v>
          </cell>
          <cell r="H44" t="str">
            <v xml:space="preserve"> </v>
          </cell>
          <cell r="I44">
            <v>2</v>
          </cell>
          <cell r="J44" t="str">
            <v>Grant Manager</v>
          </cell>
          <cell r="K44">
            <v>2</v>
          </cell>
          <cell r="L44">
            <v>5</v>
          </cell>
          <cell r="M44" t="str">
            <v xml:space="preserve"> </v>
          </cell>
          <cell r="N44" t="str">
            <v>5'1''</v>
          </cell>
          <cell r="O44">
            <v>155</v>
          </cell>
          <cell r="P44" t="str">
            <v>Buproprion 450 MG - 6 years (slowly increased MG)  Lisinopril 20 MG - 10 Years   Klonopin .5 MG - 7</v>
          </cell>
          <cell r="Q44" t="str">
            <v xml:space="preserve"> </v>
          </cell>
          <cell r="R44">
            <v>1</v>
          </cell>
          <cell r="S44">
            <v>3</v>
          </cell>
          <cell r="T44">
            <v>0</v>
          </cell>
          <cell r="U44" t="str">
            <v xml:space="preserve"> </v>
          </cell>
          <cell r="V44" t="str">
            <v xml:space="preserve"> </v>
          </cell>
          <cell r="W44">
            <v>0</v>
          </cell>
          <cell r="X44">
            <v>0</v>
          </cell>
          <cell r="Y44">
            <v>1</v>
          </cell>
          <cell r="Z44">
            <v>0</v>
          </cell>
          <cell r="AA44">
            <v>0</v>
          </cell>
          <cell r="AB44">
            <v>0</v>
          </cell>
          <cell r="AC44">
            <v>1</v>
          </cell>
          <cell r="AD44">
            <v>1</v>
          </cell>
          <cell r="AE44">
            <v>1</v>
          </cell>
          <cell r="AF44">
            <v>0</v>
          </cell>
          <cell r="AG44">
            <v>0</v>
          </cell>
          <cell r="AH44">
            <v>0</v>
          </cell>
          <cell r="AI44">
            <v>0</v>
          </cell>
          <cell r="AJ44">
            <v>0</v>
          </cell>
          <cell r="AK44">
            <v>0</v>
          </cell>
          <cell r="AL44">
            <v>0</v>
          </cell>
          <cell r="AM44">
            <v>0</v>
          </cell>
          <cell r="AN44">
            <v>0</v>
          </cell>
          <cell r="AO44">
            <v>0</v>
          </cell>
          <cell r="AP44">
            <v>1</v>
          </cell>
          <cell r="AQ44" t="str">
            <v>PTSD</v>
          </cell>
          <cell r="AR44">
            <v>1</v>
          </cell>
          <cell r="AS44">
            <v>0</v>
          </cell>
          <cell r="AT44">
            <v>1</v>
          </cell>
          <cell r="AU44">
            <v>0</v>
          </cell>
          <cell r="AV44">
            <v>0</v>
          </cell>
          <cell r="AW44">
            <v>0</v>
          </cell>
          <cell r="AX44">
            <v>0</v>
          </cell>
          <cell r="AY44">
            <v>0</v>
          </cell>
          <cell r="AZ44">
            <v>15</v>
          </cell>
          <cell r="BA44">
            <v>3</v>
          </cell>
          <cell r="BB44">
            <v>0</v>
          </cell>
          <cell r="BC44">
            <v>30</v>
          </cell>
          <cell r="BD44">
            <v>2</v>
          </cell>
          <cell r="BE44">
            <v>0</v>
          </cell>
          <cell r="BF44">
            <v>30</v>
          </cell>
          <cell r="BG44">
            <v>6</v>
          </cell>
          <cell r="BH44">
            <v>0</v>
          </cell>
          <cell r="BI44">
            <v>20</v>
          </cell>
          <cell r="BJ44">
            <v>8</v>
          </cell>
          <cell r="BK44">
            <v>0</v>
          </cell>
          <cell r="BL44">
            <v>480</v>
          </cell>
          <cell r="BM44">
            <v>396</v>
          </cell>
          <cell r="BN44">
            <v>240</v>
          </cell>
          <cell r="BO44">
            <v>720</v>
          </cell>
          <cell r="BP44">
            <v>1356</v>
          </cell>
          <cell r="BQ44">
            <v>2</v>
          </cell>
          <cell r="BR44">
            <v>7</v>
          </cell>
          <cell r="BS44">
            <v>7</v>
          </cell>
          <cell r="BT44">
            <v>3</v>
          </cell>
          <cell r="BU44">
            <v>2</v>
          </cell>
          <cell r="BV44">
            <v>7</v>
          </cell>
          <cell r="BW44">
            <v>6</v>
          </cell>
          <cell r="BX44">
            <v>6</v>
          </cell>
          <cell r="BY44">
            <v>3</v>
          </cell>
          <cell r="BZ44">
            <v>6</v>
          </cell>
          <cell r="CA44">
            <v>7</v>
          </cell>
          <cell r="CB44">
            <v>4</v>
          </cell>
          <cell r="CC44">
            <v>7</v>
          </cell>
          <cell r="CD44">
            <v>7</v>
          </cell>
          <cell r="CE44">
            <v>3</v>
          </cell>
          <cell r="CF44">
            <v>6.25</v>
          </cell>
          <cell r="CG44">
            <v>5.4166666670000003</v>
          </cell>
          <cell r="CH44">
            <v>8</v>
          </cell>
          <cell r="CI44">
            <v>7</v>
          </cell>
          <cell r="CJ44">
            <v>5</v>
          </cell>
          <cell r="CK44">
            <v>6</v>
          </cell>
          <cell r="CL44">
            <v>5</v>
          </cell>
          <cell r="CM44">
            <v>6</v>
          </cell>
          <cell r="CN44">
            <v>5</v>
          </cell>
          <cell r="CO44">
            <v>6</v>
          </cell>
          <cell r="CP44">
            <v>7</v>
          </cell>
          <cell r="CQ44">
            <v>6</v>
          </cell>
          <cell r="CR44">
            <v>6</v>
          </cell>
          <cell r="CS44">
            <v>6</v>
          </cell>
          <cell r="CT44">
            <v>6</v>
          </cell>
          <cell r="CU44">
            <v>6</v>
          </cell>
          <cell r="CV44">
            <v>7</v>
          </cell>
          <cell r="CW44">
            <v>7</v>
          </cell>
          <cell r="CX44">
            <v>7</v>
          </cell>
          <cell r="CY44">
            <v>6</v>
          </cell>
          <cell r="CZ44">
            <v>6</v>
          </cell>
          <cell r="DA44">
            <v>6</v>
          </cell>
          <cell r="DB44">
            <v>6</v>
          </cell>
          <cell r="DC44">
            <v>130</v>
          </cell>
          <cell r="DD44">
            <v>22</v>
          </cell>
          <cell r="DE44">
            <v>18</v>
          </cell>
          <cell r="DF44">
            <v>16</v>
          </cell>
          <cell r="DG44">
            <v>19</v>
          </cell>
          <cell r="DH44">
            <v>18</v>
          </cell>
          <cell r="DI44">
            <v>18</v>
          </cell>
          <cell r="DJ44">
            <v>19</v>
          </cell>
          <cell r="DK44">
            <v>18</v>
          </cell>
          <cell r="DL44">
            <v>24</v>
          </cell>
          <cell r="DM44">
            <v>26</v>
          </cell>
          <cell r="DN44">
            <v>19</v>
          </cell>
          <cell r="DO44">
            <v>26</v>
          </cell>
          <cell r="DP44">
            <v>17</v>
          </cell>
          <cell r="DQ44">
            <v>1</v>
          </cell>
          <cell r="DR44">
            <v>2</v>
          </cell>
          <cell r="DS44">
            <v>2</v>
          </cell>
          <cell r="DT44">
            <v>0</v>
          </cell>
          <cell r="DU44">
            <v>2</v>
          </cell>
          <cell r="DV44">
            <v>1</v>
          </cell>
          <cell r="DW44">
            <v>0</v>
          </cell>
          <cell r="DX44">
            <v>1</v>
          </cell>
          <cell r="DY44">
            <v>1</v>
          </cell>
          <cell r="DZ44">
            <v>1</v>
          </cell>
          <cell r="EA44">
            <v>2</v>
          </cell>
          <cell r="EB44">
            <v>1</v>
          </cell>
          <cell r="EC44">
            <v>1</v>
          </cell>
          <cell r="ED44">
            <v>2</v>
          </cell>
          <cell r="EE44">
            <v>1</v>
          </cell>
          <cell r="EF44">
            <v>1</v>
          </cell>
          <cell r="EG44">
            <v>1</v>
          </cell>
          <cell r="EH44">
            <v>0</v>
          </cell>
          <cell r="EI44">
            <v>0</v>
          </cell>
          <cell r="EJ44">
            <v>0</v>
          </cell>
          <cell r="EK44">
            <v>1</v>
          </cell>
          <cell r="EL44">
            <v>4</v>
          </cell>
          <cell r="EM44">
            <v>9</v>
          </cell>
          <cell r="EN44">
            <v>8</v>
          </cell>
          <cell r="EO44">
            <v>21</v>
          </cell>
          <cell r="EP44">
            <v>3</v>
          </cell>
          <cell r="EQ44">
            <v>3</v>
          </cell>
          <cell r="ER44">
            <v>1</v>
          </cell>
          <cell r="ES44">
            <v>1</v>
          </cell>
          <cell r="ET44">
            <v>3</v>
          </cell>
          <cell r="EU44">
            <v>3</v>
          </cell>
          <cell r="EV44">
            <v>3</v>
          </cell>
          <cell r="EW44">
            <v>1</v>
          </cell>
          <cell r="EX44">
            <v>1</v>
          </cell>
          <cell r="EY44">
            <v>3</v>
          </cell>
          <cell r="EZ44">
            <v>3</v>
          </cell>
          <cell r="FA44">
            <v>2</v>
          </cell>
          <cell r="FB44">
            <v>3</v>
          </cell>
          <cell r="FC44">
            <v>2</v>
          </cell>
          <cell r="FD44">
            <v>2</v>
          </cell>
          <cell r="FE44">
            <v>3</v>
          </cell>
          <cell r="FF44">
            <v>2</v>
          </cell>
          <cell r="FG44">
            <v>39</v>
          </cell>
          <cell r="FH44">
            <v>2</v>
          </cell>
          <cell r="FI44">
            <v>3</v>
          </cell>
          <cell r="FJ44">
            <v>2</v>
          </cell>
          <cell r="FK44">
            <v>2</v>
          </cell>
          <cell r="FL44">
            <v>3</v>
          </cell>
          <cell r="FM44">
            <v>2</v>
          </cell>
          <cell r="FN44">
            <v>3</v>
          </cell>
          <cell r="FO44">
            <v>2</v>
          </cell>
          <cell r="FP44">
            <v>3</v>
          </cell>
          <cell r="FQ44">
            <v>3</v>
          </cell>
          <cell r="FR44">
            <v>3</v>
          </cell>
          <cell r="FS44">
            <v>2</v>
          </cell>
          <cell r="FT44">
            <v>3</v>
          </cell>
          <cell r="FU44">
            <v>3</v>
          </cell>
          <cell r="FV44">
            <v>2</v>
          </cell>
          <cell r="FW44">
            <v>3</v>
          </cell>
          <cell r="FX44">
            <v>2</v>
          </cell>
          <cell r="FY44">
            <v>2</v>
          </cell>
          <cell r="FZ44">
            <v>3</v>
          </cell>
          <cell r="GA44">
            <v>2</v>
          </cell>
          <cell r="GB44">
            <v>2</v>
          </cell>
          <cell r="GC44">
            <v>34</v>
          </cell>
        </row>
        <row r="45">
          <cell r="A45">
            <v>937</v>
          </cell>
          <cell r="B45">
            <v>0</v>
          </cell>
          <cell r="C45">
            <v>39</v>
          </cell>
          <cell r="D45">
            <v>0</v>
          </cell>
          <cell r="E45" t="str">
            <v xml:space="preserve"> </v>
          </cell>
          <cell r="F45">
            <v>3</v>
          </cell>
          <cell r="G45">
            <v>1</v>
          </cell>
          <cell r="H45">
            <v>2</v>
          </cell>
          <cell r="I45">
            <v>2</v>
          </cell>
          <cell r="J45" t="str">
            <v>administrative associate</v>
          </cell>
          <cell r="K45">
            <v>2</v>
          </cell>
          <cell r="L45">
            <v>5</v>
          </cell>
          <cell r="M45" t="str">
            <v xml:space="preserve"> </v>
          </cell>
          <cell r="N45" t="str">
            <v>5'5"</v>
          </cell>
          <cell r="O45">
            <v>175</v>
          </cell>
          <cell r="P45" t="str">
            <v>August 2019 Lexapro</v>
          </cell>
          <cell r="Q45">
            <v>44902</v>
          </cell>
          <cell r="R45">
            <v>1</v>
          </cell>
          <cell r="S45">
            <v>0</v>
          </cell>
          <cell r="T45">
            <v>0</v>
          </cell>
          <cell r="U45" t="str">
            <v xml:space="preserve"> </v>
          </cell>
          <cell r="V45" t="str">
            <v xml:space="preserve"> </v>
          </cell>
          <cell r="W45">
            <v>0</v>
          </cell>
          <cell r="X45">
            <v>0</v>
          </cell>
          <cell r="Y45">
            <v>0</v>
          </cell>
          <cell r="Z45">
            <v>0</v>
          </cell>
          <cell r="AA45">
            <v>0</v>
          </cell>
          <cell r="AB45">
            <v>0</v>
          </cell>
          <cell r="AC45">
            <v>0</v>
          </cell>
          <cell r="AD45">
            <v>1</v>
          </cell>
          <cell r="AE45">
            <v>0</v>
          </cell>
          <cell r="AF45">
            <v>0</v>
          </cell>
          <cell r="AG45">
            <v>0</v>
          </cell>
          <cell r="AH45">
            <v>0</v>
          </cell>
          <cell r="AI45">
            <v>0</v>
          </cell>
          <cell r="AJ45">
            <v>0</v>
          </cell>
          <cell r="AK45">
            <v>0</v>
          </cell>
          <cell r="AL45">
            <v>0</v>
          </cell>
          <cell r="AM45">
            <v>0</v>
          </cell>
          <cell r="AN45">
            <v>0</v>
          </cell>
          <cell r="AO45">
            <v>0</v>
          </cell>
          <cell r="AP45">
            <v>0</v>
          </cell>
          <cell r="AQ45" t="str">
            <v xml:space="preserve"> </v>
          </cell>
          <cell r="AR45">
            <v>0</v>
          </cell>
          <cell r="AS45">
            <v>0</v>
          </cell>
          <cell r="AT45">
            <v>0</v>
          </cell>
          <cell r="AU45">
            <v>0</v>
          </cell>
          <cell r="AV45">
            <v>0</v>
          </cell>
          <cell r="AW45">
            <v>0</v>
          </cell>
          <cell r="AX45">
            <v>0</v>
          </cell>
          <cell r="AY45">
            <v>0</v>
          </cell>
          <cell r="AZ45">
            <v>0</v>
          </cell>
          <cell r="BA45">
            <v>0</v>
          </cell>
          <cell r="BB45" t="str">
            <v xml:space="preserve"> </v>
          </cell>
          <cell r="BC45" t="str">
            <v xml:space="preserve"> </v>
          </cell>
          <cell r="BD45">
            <v>0</v>
          </cell>
          <cell r="BE45" t="str">
            <v xml:space="preserve"> </v>
          </cell>
          <cell r="BF45" t="str">
            <v xml:space="preserve"> </v>
          </cell>
          <cell r="BG45">
            <v>5</v>
          </cell>
          <cell r="BH45">
            <v>0</v>
          </cell>
          <cell r="BI45">
            <v>20</v>
          </cell>
          <cell r="BJ45">
            <v>6</v>
          </cell>
          <cell r="BK45">
            <v>30</v>
          </cell>
          <cell r="BL45">
            <v>390</v>
          </cell>
          <cell r="BM45">
            <v>330</v>
          </cell>
          <cell r="BN45">
            <v>0</v>
          </cell>
          <cell r="BO45">
            <v>0</v>
          </cell>
          <cell r="BP45">
            <v>330</v>
          </cell>
          <cell r="BQ45">
            <v>1</v>
          </cell>
          <cell r="BR45">
            <v>7</v>
          </cell>
          <cell r="BS45">
            <v>7</v>
          </cell>
          <cell r="BT45">
            <v>7</v>
          </cell>
          <cell r="BU45">
            <v>7</v>
          </cell>
          <cell r="BV45">
            <v>7</v>
          </cell>
          <cell r="BW45">
            <v>7</v>
          </cell>
          <cell r="BX45">
            <v>7</v>
          </cell>
          <cell r="BY45">
            <v>7</v>
          </cell>
          <cell r="BZ45">
            <v>7</v>
          </cell>
          <cell r="CA45">
            <v>7</v>
          </cell>
          <cell r="CB45">
            <v>7</v>
          </cell>
          <cell r="CC45">
            <v>7</v>
          </cell>
          <cell r="CD45">
            <v>7</v>
          </cell>
          <cell r="CE45">
            <v>7</v>
          </cell>
          <cell r="CF45">
            <v>7</v>
          </cell>
          <cell r="CG45">
            <v>7</v>
          </cell>
          <cell r="CH45">
            <v>6</v>
          </cell>
          <cell r="CI45">
            <v>7</v>
          </cell>
          <cell r="CJ45">
            <v>8</v>
          </cell>
          <cell r="CK45">
            <v>8</v>
          </cell>
          <cell r="CL45">
            <v>7</v>
          </cell>
          <cell r="CM45">
            <v>7</v>
          </cell>
          <cell r="CN45">
            <v>8</v>
          </cell>
          <cell r="CO45">
            <v>7</v>
          </cell>
          <cell r="CP45">
            <v>6</v>
          </cell>
          <cell r="CQ45">
            <v>8</v>
          </cell>
          <cell r="CR45">
            <v>8</v>
          </cell>
          <cell r="CS45">
            <v>7</v>
          </cell>
          <cell r="CT45">
            <v>6</v>
          </cell>
          <cell r="CU45">
            <v>7</v>
          </cell>
          <cell r="CV45">
            <v>8</v>
          </cell>
          <cell r="CW45">
            <v>7</v>
          </cell>
          <cell r="CX45">
            <v>7</v>
          </cell>
          <cell r="CY45">
            <v>7</v>
          </cell>
          <cell r="CZ45">
            <v>7</v>
          </cell>
          <cell r="DA45">
            <v>6</v>
          </cell>
          <cell r="DB45">
            <v>7</v>
          </cell>
          <cell r="DC45">
            <v>149</v>
          </cell>
          <cell r="DD45">
            <v>19</v>
          </cell>
          <cell r="DE45">
            <v>20</v>
          </cell>
          <cell r="DF45">
            <v>23</v>
          </cell>
          <cell r="DG45">
            <v>23</v>
          </cell>
          <cell r="DH45">
            <v>20</v>
          </cell>
          <cell r="DI45">
            <v>23</v>
          </cell>
          <cell r="DJ45">
            <v>21</v>
          </cell>
          <cell r="DK45">
            <v>22</v>
          </cell>
          <cell r="DL45">
            <v>27</v>
          </cell>
          <cell r="DM45">
            <v>28</v>
          </cell>
          <cell r="DN45">
            <v>22</v>
          </cell>
          <cell r="DO45">
            <v>28</v>
          </cell>
          <cell r="DP45">
            <v>22</v>
          </cell>
          <cell r="DQ45">
            <v>1</v>
          </cell>
          <cell r="DR45">
            <v>0</v>
          </cell>
          <cell r="DS45">
            <v>0</v>
          </cell>
          <cell r="DT45">
            <v>1</v>
          </cell>
          <cell r="DU45">
            <v>2</v>
          </cell>
          <cell r="DV45">
            <v>0</v>
          </cell>
          <cell r="DW45">
            <v>0</v>
          </cell>
          <cell r="DX45">
            <v>0</v>
          </cell>
          <cell r="DY45">
            <v>0</v>
          </cell>
          <cell r="DZ45">
            <v>0</v>
          </cell>
          <cell r="EA45">
            <v>0</v>
          </cell>
          <cell r="EB45">
            <v>0</v>
          </cell>
          <cell r="EC45">
            <v>0</v>
          </cell>
          <cell r="ED45">
            <v>0</v>
          </cell>
          <cell r="EE45">
            <v>0</v>
          </cell>
          <cell r="EF45">
            <v>0</v>
          </cell>
          <cell r="EG45">
            <v>0</v>
          </cell>
          <cell r="EH45">
            <v>0</v>
          </cell>
          <cell r="EI45">
            <v>0</v>
          </cell>
          <cell r="EJ45">
            <v>0</v>
          </cell>
          <cell r="EK45">
            <v>0</v>
          </cell>
          <cell r="EL45">
            <v>1</v>
          </cell>
          <cell r="EM45">
            <v>2</v>
          </cell>
          <cell r="EN45">
            <v>1</v>
          </cell>
          <cell r="EO45">
            <v>4</v>
          </cell>
          <cell r="EP45">
            <v>1</v>
          </cell>
          <cell r="EQ45">
            <v>3</v>
          </cell>
          <cell r="ER45">
            <v>1</v>
          </cell>
          <cell r="ES45">
            <v>2</v>
          </cell>
          <cell r="ET45">
            <v>3</v>
          </cell>
          <cell r="EU45">
            <v>3</v>
          </cell>
          <cell r="EV45">
            <v>2</v>
          </cell>
          <cell r="EW45">
            <v>5</v>
          </cell>
          <cell r="EX45">
            <v>5</v>
          </cell>
          <cell r="EY45">
            <v>3</v>
          </cell>
          <cell r="EZ45">
            <v>5</v>
          </cell>
          <cell r="FA45">
            <v>2</v>
          </cell>
          <cell r="FB45">
            <v>5</v>
          </cell>
          <cell r="FC45">
            <v>1</v>
          </cell>
          <cell r="FD45">
            <v>1</v>
          </cell>
          <cell r="FE45">
            <v>3</v>
          </cell>
          <cell r="FF45">
            <v>3</v>
          </cell>
          <cell r="FG45">
            <v>48</v>
          </cell>
          <cell r="FH45">
            <v>3</v>
          </cell>
          <cell r="FI45">
            <v>2</v>
          </cell>
          <cell r="FJ45">
            <v>1</v>
          </cell>
          <cell r="FK45">
            <v>3</v>
          </cell>
          <cell r="FL45">
            <v>2</v>
          </cell>
          <cell r="FM45">
            <v>1</v>
          </cell>
          <cell r="FN45">
            <v>1</v>
          </cell>
          <cell r="FO45">
            <v>4</v>
          </cell>
          <cell r="FP45">
            <v>1</v>
          </cell>
          <cell r="FQ45">
            <v>1</v>
          </cell>
          <cell r="FR45">
            <v>3</v>
          </cell>
          <cell r="FS45">
            <v>2</v>
          </cell>
          <cell r="FT45">
            <v>1</v>
          </cell>
          <cell r="FU45">
            <v>4</v>
          </cell>
          <cell r="FV45">
            <v>1</v>
          </cell>
          <cell r="FW45">
            <v>4</v>
          </cell>
          <cell r="FX45">
            <v>1</v>
          </cell>
          <cell r="FY45">
            <v>1</v>
          </cell>
          <cell r="FZ45">
            <v>4</v>
          </cell>
          <cell r="GA45">
            <v>1</v>
          </cell>
          <cell r="GB45">
            <v>2</v>
          </cell>
          <cell r="GC45">
            <v>18</v>
          </cell>
        </row>
        <row r="46">
          <cell r="A46">
            <v>939</v>
          </cell>
          <cell r="B46">
            <v>2</v>
          </cell>
          <cell r="C46">
            <v>31</v>
          </cell>
          <cell r="D46">
            <v>1</v>
          </cell>
          <cell r="E46" t="str">
            <v xml:space="preserve"> </v>
          </cell>
          <cell r="F46">
            <v>1</v>
          </cell>
          <cell r="G46">
            <v>0</v>
          </cell>
          <cell r="H46" t="str">
            <v xml:space="preserve"> </v>
          </cell>
          <cell r="I46">
            <v>2</v>
          </cell>
          <cell r="J46" t="str">
            <v>Law Clerk</v>
          </cell>
          <cell r="K46">
            <v>2</v>
          </cell>
          <cell r="L46">
            <v>5</v>
          </cell>
          <cell r="M46" t="str">
            <v xml:space="preserve"> </v>
          </cell>
          <cell r="N46" t="str">
            <v>5'5</v>
          </cell>
          <cell r="O46">
            <v>175</v>
          </cell>
          <cell r="P46" t="str">
            <v>Auvelity</v>
          </cell>
        </row>
        <row r="47">
          <cell r="A47">
            <v>942</v>
          </cell>
          <cell r="B47">
            <v>1</v>
          </cell>
          <cell r="C47">
            <v>31</v>
          </cell>
          <cell r="D47">
            <v>0</v>
          </cell>
          <cell r="E47" t="str">
            <v xml:space="preserve"> </v>
          </cell>
          <cell r="F47">
            <v>5</v>
          </cell>
          <cell r="G47">
            <v>1</v>
          </cell>
          <cell r="H47">
            <v>1</v>
          </cell>
          <cell r="I47">
            <v>2</v>
          </cell>
          <cell r="J47" t="str">
            <v>Child care</v>
          </cell>
          <cell r="K47">
            <v>1</v>
          </cell>
          <cell r="L47">
            <v>7</v>
          </cell>
          <cell r="M47" t="str">
            <v xml:space="preserve"> </v>
          </cell>
          <cell r="N47">
            <v>5</v>
          </cell>
          <cell r="O47">
            <v>264</v>
          </cell>
          <cell r="P47" t="str">
            <v>Levothyroxen</v>
          </cell>
          <cell r="Q47">
            <v>44905</v>
          </cell>
          <cell r="R47">
            <v>0</v>
          </cell>
          <cell r="S47">
            <v>3</v>
          </cell>
          <cell r="T47">
            <v>0</v>
          </cell>
          <cell r="U47" t="str">
            <v xml:space="preserve"> </v>
          </cell>
          <cell r="V47" t="str">
            <v xml:space="preserve"> </v>
          </cell>
          <cell r="W47">
            <v>0</v>
          </cell>
          <cell r="X47">
            <v>0</v>
          </cell>
          <cell r="Y47">
            <v>0</v>
          </cell>
          <cell r="Z47">
            <v>0</v>
          </cell>
          <cell r="AA47">
            <v>0</v>
          </cell>
          <cell r="AB47">
            <v>0</v>
          </cell>
          <cell r="AC47">
            <v>0</v>
          </cell>
          <cell r="AD47">
            <v>1</v>
          </cell>
          <cell r="AE47">
            <v>1</v>
          </cell>
          <cell r="AF47">
            <v>0</v>
          </cell>
          <cell r="AG47">
            <v>0</v>
          </cell>
          <cell r="AH47">
            <v>0</v>
          </cell>
          <cell r="AI47">
            <v>0</v>
          </cell>
          <cell r="AJ47">
            <v>0</v>
          </cell>
          <cell r="AK47">
            <v>0</v>
          </cell>
          <cell r="AL47">
            <v>0</v>
          </cell>
          <cell r="AM47">
            <v>0</v>
          </cell>
          <cell r="AN47">
            <v>0</v>
          </cell>
          <cell r="AO47">
            <v>0</v>
          </cell>
          <cell r="AP47">
            <v>1</v>
          </cell>
          <cell r="AQ47" t="str">
            <v>Ptsd</v>
          </cell>
          <cell r="AR47">
            <v>0</v>
          </cell>
          <cell r="AS47">
            <v>0</v>
          </cell>
          <cell r="AT47">
            <v>0</v>
          </cell>
          <cell r="AU47">
            <v>0</v>
          </cell>
          <cell r="AV47">
            <v>0</v>
          </cell>
          <cell r="AW47">
            <v>0</v>
          </cell>
          <cell r="AX47">
            <v>0</v>
          </cell>
          <cell r="AY47">
            <v>0</v>
          </cell>
          <cell r="AZ47">
            <v>25</v>
          </cell>
          <cell r="BA47">
            <v>0</v>
          </cell>
          <cell r="BB47" t="str">
            <v xml:space="preserve"> </v>
          </cell>
          <cell r="BC47" t="str">
            <v xml:space="preserve"> </v>
          </cell>
          <cell r="BD47">
            <v>0</v>
          </cell>
          <cell r="BE47" t="str">
            <v xml:space="preserve"> </v>
          </cell>
          <cell r="BF47" t="str">
            <v xml:space="preserve"> </v>
          </cell>
          <cell r="BG47">
            <v>7</v>
          </cell>
          <cell r="BH47">
            <v>2</v>
          </cell>
          <cell r="BI47">
            <v>0</v>
          </cell>
          <cell r="BJ47">
            <v>5</v>
          </cell>
          <cell r="BK47">
            <v>0</v>
          </cell>
          <cell r="BL47">
            <v>300</v>
          </cell>
          <cell r="BM47">
            <v>2772</v>
          </cell>
          <cell r="BN47">
            <v>0</v>
          </cell>
          <cell r="BO47">
            <v>0</v>
          </cell>
          <cell r="BP47">
            <v>2772</v>
          </cell>
          <cell r="BQ47">
            <v>2</v>
          </cell>
          <cell r="BR47">
            <v>5</v>
          </cell>
          <cell r="BS47">
            <v>6</v>
          </cell>
          <cell r="BT47">
            <v>4</v>
          </cell>
          <cell r="BU47">
            <v>3</v>
          </cell>
          <cell r="BV47">
            <v>6</v>
          </cell>
          <cell r="BW47">
            <v>2</v>
          </cell>
          <cell r="BX47">
            <v>2</v>
          </cell>
          <cell r="BY47">
            <v>3</v>
          </cell>
          <cell r="BZ47">
            <v>6</v>
          </cell>
          <cell r="CA47">
            <v>6</v>
          </cell>
          <cell r="CB47">
            <v>5</v>
          </cell>
          <cell r="CC47">
            <v>6</v>
          </cell>
          <cell r="CD47">
            <v>5.75</v>
          </cell>
          <cell r="CE47">
            <v>3.75</v>
          </cell>
          <cell r="CF47">
            <v>4</v>
          </cell>
          <cell r="CG47">
            <v>4.5</v>
          </cell>
          <cell r="CH47">
            <v>7</v>
          </cell>
          <cell r="CI47">
            <v>8</v>
          </cell>
          <cell r="CJ47">
            <v>8</v>
          </cell>
          <cell r="CK47">
            <v>8</v>
          </cell>
          <cell r="CL47">
            <v>6</v>
          </cell>
          <cell r="CM47">
            <v>7</v>
          </cell>
          <cell r="CN47">
            <v>7</v>
          </cell>
          <cell r="CO47">
            <v>3</v>
          </cell>
          <cell r="CP47">
            <v>7</v>
          </cell>
          <cell r="CQ47">
            <v>8</v>
          </cell>
          <cell r="CR47">
            <v>7</v>
          </cell>
          <cell r="CS47">
            <v>9</v>
          </cell>
          <cell r="CT47">
            <v>8</v>
          </cell>
          <cell r="CU47">
            <v>7</v>
          </cell>
          <cell r="CV47">
            <v>8</v>
          </cell>
          <cell r="CW47">
            <v>8</v>
          </cell>
          <cell r="CX47">
            <v>8</v>
          </cell>
          <cell r="CY47">
            <v>8</v>
          </cell>
          <cell r="CZ47">
            <v>6</v>
          </cell>
          <cell r="DA47">
            <v>7</v>
          </cell>
          <cell r="DB47">
            <v>7</v>
          </cell>
          <cell r="DC47">
            <v>152</v>
          </cell>
          <cell r="DD47">
            <v>22</v>
          </cell>
          <cell r="DE47">
            <v>23</v>
          </cell>
          <cell r="DF47">
            <v>22</v>
          </cell>
          <cell r="DG47">
            <v>19</v>
          </cell>
          <cell r="DH47">
            <v>21</v>
          </cell>
          <cell r="DI47">
            <v>22</v>
          </cell>
          <cell r="DJ47">
            <v>23</v>
          </cell>
          <cell r="DK47">
            <v>24</v>
          </cell>
          <cell r="DL47">
            <v>28</v>
          </cell>
          <cell r="DM47">
            <v>30</v>
          </cell>
          <cell r="DN47">
            <v>18</v>
          </cell>
          <cell r="DO47">
            <v>30</v>
          </cell>
          <cell r="DP47">
            <v>22</v>
          </cell>
          <cell r="DQ47">
            <v>2</v>
          </cell>
          <cell r="DR47">
            <v>1</v>
          </cell>
          <cell r="DS47">
            <v>0</v>
          </cell>
          <cell r="DT47">
            <v>0</v>
          </cell>
          <cell r="DU47">
            <v>1</v>
          </cell>
          <cell r="DV47">
            <v>2</v>
          </cell>
          <cell r="DW47">
            <v>1</v>
          </cell>
          <cell r="DX47">
            <v>2</v>
          </cell>
          <cell r="DY47">
            <v>3</v>
          </cell>
          <cell r="DZ47">
            <v>2</v>
          </cell>
          <cell r="EA47">
            <v>2</v>
          </cell>
          <cell r="EB47">
            <v>3</v>
          </cell>
          <cell r="EC47">
            <v>2</v>
          </cell>
          <cell r="ED47">
            <v>1</v>
          </cell>
          <cell r="EE47">
            <v>2</v>
          </cell>
          <cell r="EF47">
            <v>1</v>
          </cell>
          <cell r="EG47">
            <v>2</v>
          </cell>
          <cell r="EH47">
            <v>0</v>
          </cell>
          <cell r="EI47">
            <v>2</v>
          </cell>
          <cell r="EJ47">
            <v>0</v>
          </cell>
          <cell r="EK47">
            <v>0</v>
          </cell>
          <cell r="EL47">
            <v>9</v>
          </cell>
          <cell r="EM47">
            <v>8</v>
          </cell>
          <cell r="EN47">
            <v>12</v>
          </cell>
          <cell r="EO47">
            <v>29</v>
          </cell>
          <cell r="EP47">
            <v>2</v>
          </cell>
          <cell r="EQ47">
            <v>2</v>
          </cell>
          <cell r="ER47">
            <v>1</v>
          </cell>
          <cell r="ES47">
            <v>1</v>
          </cell>
          <cell r="ET47">
            <v>2</v>
          </cell>
          <cell r="EU47">
            <v>1</v>
          </cell>
          <cell r="EV47">
            <v>2</v>
          </cell>
          <cell r="EW47">
            <v>5</v>
          </cell>
          <cell r="EX47">
            <v>5</v>
          </cell>
          <cell r="EY47">
            <v>5</v>
          </cell>
          <cell r="EZ47">
            <v>5</v>
          </cell>
          <cell r="FA47">
            <v>2</v>
          </cell>
          <cell r="FB47">
            <v>2</v>
          </cell>
          <cell r="FC47">
            <v>4</v>
          </cell>
          <cell r="FD47">
            <v>1</v>
          </cell>
          <cell r="FE47">
            <v>5</v>
          </cell>
          <cell r="FF47">
            <v>1</v>
          </cell>
          <cell r="FG47">
            <v>46</v>
          </cell>
          <cell r="FH47">
            <v>3</v>
          </cell>
          <cell r="FI47">
            <v>2</v>
          </cell>
          <cell r="FJ47">
            <v>2</v>
          </cell>
          <cell r="FK47">
            <v>3</v>
          </cell>
          <cell r="FL47">
            <v>2</v>
          </cell>
          <cell r="FM47">
            <v>3</v>
          </cell>
          <cell r="FN47">
            <v>2</v>
          </cell>
          <cell r="FO47">
            <v>3</v>
          </cell>
          <cell r="FP47">
            <v>2</v>
          </cell>
          <cell r="FQ47">
            <v>2</v>
          </cell>
          <cell r="FR47">
            <v>3</v>
          </cell>
          <cell r="FS47">
            <v>2</v>
          </cell>
          <cell r="FT47">
            <v>2</v>
          </cell>
          <cell r="FU47">
            <v>3</v>
          </cell>
          <cell r="FV47">
            <v>2</v>
          </cell>
          <cell r="FW47">
            <v>3</v>
          </cell>
          <cell r="FX47">
            <v>2</v>
          </cell>
          <cell r="FY47">
            <v>2</v>
          </cell>
          <cell r="FZ47">
            <v>3</v>
          </cell>
          <cell r="GA47">
            <v>2</v>
          </cell>
          <cell r="GB47">
            <v>2</v>
          </cell>
          <cell r="GC47">
            <v>29</v>
          </cell>
        </row>
        <row r="48">
          <cell r="BA48" t="str">
            <v xml:space="preserve"> </v>
          </cell>
          <cell r="BB48" t="str">
            <v xml:space="preserve"> </v>
          </cell>
          <cell r="BC48" t="str">
            <v xml:space="preserve"> </v>
          </cell>
          <cell r="BD48" t="str">
            <v xml:space="preserve"> </v>
          </cell>
          <cell r="BE48" t="str">
            <v xml:space="preserve"> </v>
          </cell>
          <cell r="BF48" t="str">
            <v xml:space="preserve"> </v>
          </cell>
          <cell r="BG48" t="str">
            <v xml:space="preserve"> </v>
          </cell>
          <cell r="BH48" t="str">
            <v xml:space="preserve"> </v>
          </cell>
          <cell r="BI48" t="str">
            <v xml:space="preserve"> </v>
          </cell>
          <cell r="BJ48" t="str">
            <v xml:space="preserve"> </v>
          </cell>
          <cell r="BK48" t="str">
            <v xml:space="preserve"> </v>
          </cell>
          <cell r="BL48" t="str">
            <v xml:space="preserve"> </v>
          </cell>
          <cell r="BM48" t="str">
            <v xml:space="preserve"> </v>
          </cell>
          <cell r="BN48" t="str">
            <v xml:space="preserve"> </v>
          </cell>
          <cell r="BO48" t="str">
            <v xml:space="preserve"> </v>
          </cell>
          <cell r="BP48" t="str">
            <v xml:space="preserve"> </v>
          </cell>
          <cell r="BQ48" t="str">
            <v xml:space="preserve"> </v>
          </cell>
        </row>
      </sheetData>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q9IjuOCxJUaRlXKbl0LU_Ph5I_EfAHhFnZ_Xu1nb5fK_2vcCipt6Tr0lFZ4w44X0" itemId="01LPTIXLUGPKTFCMJ52VEKZTLBIZRUU5VM">
      <xxl21:absoluteUrl r:id="rId2"/>
    </xxl21:alternateUrls>
    <sheetNames>
      <sheetName val="KM_45 participants"/>
    </sheetNames>
    <sheetDataSet>
      <sheetData sheetId="0">
        <row r="1">
          <cell r="A1" t="str">
            <v>ID</v>
          </cell>
          <cell r="B1" t="str">
            <v>teps_01</v>
          </cell>
          <cell r="C1" t="str">
            <v>teps_02</v>
          </cell>
          <cell r="D1" t="str">
            <v>teps_03</v>
          </cell>
          <cell r="E1" t="str">
            <v>teps_04</v>
          </cell>
          <cell r="F1" t="str">
            <v>teps_05</v>
          </cell>
          <cell r="G1" t="str">
            <v>teps_06</v>
          </cell>
          <cell r="H1" t="str">
            <v>teps_07</v>
          </cell>
          <cell r="I1" t="str">
            <v>teps_08</v>
          </cell>
          <cell r="J1" t="str">
            <v>teps_09</v>
          </cell>
          <cell r="K1" t="str">
            <v>teps_10</v>
          </cell>
          <cell r="L1" t="str">
            <v>teps_11</v>
          </cell>
          <cell r="M1" t="str">
            <v>teps_12</v>
          </cell>
          <cell r="N1" t="str">
            <v>teps_13</v>
          </cell>
          <cell r="O1" t="str">
            <v>teps13_reverse</v>
          </cell>
          <cell r="P1" t="str">
            <v>teps_14</v>
          </cell>
          <cell r="Q1" t="str">
            <v>teps_15</v>
          </cell>
          <cell r="R1" t="str">
            <v>teps_16</v>
          </cell>
          <cell r="S1" t="str">
            <v>teps_17</v>
          </cell>
          <cell r="T1" t="str">
            <v>teps_18</v>
          </cell>
          <cell r="U1" t="str">
            <v>teps_anticipatory</v>
          </cell>
          <cell r="V1" t="str">
            <v>teps_consummatory</v>
          </cell>
          <cell r="W1" t="str">
            <v>teps_total</v>
          </cell>
          <cell r="X1" t="str">
            <v>dars_a</v>
          </cell>
          <cell r="Y1" t="str">
            <v>dars_1</v>
          </cell>
          <cell r="Z1" t="str">
            <v>dars_2</v>
          </cell>
          <cell r="AA1" t="str">
            <v>dars_3</v>
          </cell>
          <cell r="AB1" t="str">
            <v>dars_4</v>
          </cell>
          <cell r="AC1" t="str">
            <v>dars_5</v>
          </cell>
          <cell r="AD1" t="str">
            <v>dars_6</v>
          </cell>
          <cell r="AE1" t="str">
            <v>dars_7</v>
          </cell>
          <cell r="AF1" t="str">
            <v>dars_8</v>
          </cell>
          <cell r="AG1" t="str">
            <v>dars_9</v>
          </cell>
          <cell r="AH1" t="str">
            <v>a_total</v>
          </cell>
          <cell r="AI1" t="str">
            <v>dars_b</v>
          </cell>
          <cell r="AJ1" t="str">
            <v>dars_10</v>
          </cell>
          <cell r="AK1" t="str">
            <v>dars_11</v>
          </cell>
          <cell r="AL1" t="str">
            <v>dars_12</v>
          </cell>
          <cell r="AM1" t="str">
            <v>dars_13</v>
          </cell>
          <cell r="AN1" t="str">
            <v>dars_14</v>
          </cell>
          <cell r="AO1" t="str">
            <v>dars_15</v>
          </cell>
          <cell r="AP1" t="str">
            <v>b_total</v>
          </cell>
          <cell r="AQ1" t="str">
            <v>dars_c</v>
          </cell>
          <cell r="AR1" t="str">
            <v>dars_16</v>
          </cell>
          <cell r="AS1" t="str">
            <v>dars_17</v>
          </cell>
          <cell r="AT1" t="str">
            <v>dars_18</v>
          </cell>
          <cell r="AU1" t="str">
            <v>dars_19</v>
          </cell>
          <cell r="AV1" t="str">
            <v>dars_20</v>
          </cell>
          <cell r="AW1" t="str">
            <v>dars_21</v>
          </cell>
          <cell r="AX1" t="str">
            <v>c_total</v>
          </cell>
          <cell r="AY1" t="str">
            <v>dars_d</v>
          </cell>
          <cell r="AZ1" t="str">
            <v>dars_22</v>
          </cell>
          <cell r="BA1" t="str">
            <v>dars_23</v>
          </cell>
          <cell r="BB1" t="str">
            <v>dars_24</v>
          </cell>
          <cell r="BC1" t="str">
            <v>dars_25</v>
          </cell>
          <cell r="BD1" t="str">
            <v>dars_26</v>
          </cell>
          <cell r="BE1" t="str">
            <v>d_total</v>
          </cell>
          <cell r="BF1" t="str">
            <v>dars_total</v>
          </cell>
        </row>
        <row r="2">
          <cell r="A2">
            <v>801</v>
          </cell>
          <cell r="B2">
            <v>6</v>
          </cell>
          <cell r="C2">
            <v>5</v>
          </cell>
          <cell r="D2">
            <v>4</v>
          </cell>
          <cell r="E2">
            <v>5</v>
          </cell>
          <cell r="F2">
            <v>3</v>
          </cell>
          <cell r="G2">
            <v>5</v>
          </cell>
          <cell r="H2">
            <v>2</v>
          </cell>
          <cell r="I2">
            <v>4</v>
          </cell>
          <cell r="J2">
            <v>5</v>
          </cell>
          <cell r="K2">
            <v>4</v>
          </cell>
          <cell r="L2">
            <v>4</v>
          </cell>
          <cell r="M2">
            <v>4</v>
          </cell>
          <cell r="N2">
            <v>5</v>
          </cell>
          <cell r="O2">
            <v>2</v>
          </cell>
          <cell r="P2">
            <v>5</v>
          </cell>
          <cell r="Q2">
            <v>5</v>
          </cell>
          <cell r="R2">
            <v>5</v>
          </cell>
          <cell r="S2">
            <v>5</v>
          </cell>
          <cell r="T2">
            <v>6</v>
          </cell>
          <cell r="U2">
            <v>46</v>
          </cell>
          <cell r="V2">
            <v>33</v>
          </cell>
          <cell r="W2">
            <v>79</v>
          </cell>
          <cell r="X2" t="str">
            <v>cooking  Movies  Dancing</v>
          </cell>
          <cell r="Y2">
            <v>4</v>
          </cell>
          <cell r="Z2">
            <v>4</v>
          </cell>
          <cell r="AA2">
            <v>3</v>
          </cell>
          <cell r="AB2">
            <v>3</v>
          </cell>
          <cell r="AC2">
            <v>3</v>
          </cell>
          <cell r="AD2">
            <v>3</v>
          </cell>
          <cell r="AE2">
            <v>3</v>
          </cell>
          <cell r="AF2">
            <v>3</v>
          </cell>
          <cell r="AG2">
            <v>3</v>
          </cell>
          <cell r="AH2">
            <v>29</v>
          </cell>
          <cell r="AI2" t="str">
            <v>Bubble Tea  Pasta  Cookies</v>
          </cell>
          <cell r="AJ2">
            <v>2</v>
          </cell>
          <cell r="AK2">
            <v>4</v>
          </cell>
          <cell r="AL2">
            <v>4</v>
          </cell>
          <cell r="AM2">
            <v>3</v>
          </cell>
          <cell r="AN2">
            <v>3</v>
          </cell>
          <cell r="AO2">
            <v>1</v>
          </cell>
          <cell r="AP2">
            <v>17</v>
          </cell>
          <cell r="AQ2" t="str">
            <v>Meeting friends for coffee/dinne</v>
          </cell>
          <cell r="AR2">
            <v>4</v>
          </cell>
          <cell r="AS2">
            <v>3</v>
          </cell>
          <cell r="AT2">
            <v>2</v>
          </cell>
          <cell r="AU2">
            <v>3</v>
          </cell>
          <cell r="AV2">
            <v>3</v>
          </cell>
          <cell r="AW2">
            <v>2</v>
          </cell>
          <cell r="AX2">
            <v>17</v>
          </cell>
          <cell r="AY2" t="str">
            <v>Smell of cooking/baking  Sound o</v>
          </cell>
          <cell r="AZ2">
            <v>2</v>
          </cell>
          <cell r="BA2">
            <v>3</v>
          </cell>
          <cell r="BB2">
            <v>4</v>
          </cell>
          <cell r="BC2">
            <v>4</v>
          </cell>
          <cell r="BD2">
            <v>2</v>
          </cell>
          <cell r="BE2">
            <v>15</v>
          </cell>
          <cell r="BF2">
            <v>78</v>
          </cell>
        </row>
        <row r="3">
          <cell r="A3">
            <v>814</v>
          </cell>
          <cell r="B3">
            <v>3</v>
          </cell>
          <cell r="C3">
            <v>3</v>
          </cell>
          <cell r="D3">
            <v>1</v>
          </cell>
          <cell r="E3">
            <v>4</v>
          </cell>
          <cell r="F3">
            <v>2</v>
          </cell>
          <cell r="G3">
            <v>5</v>
          </cell>
          <cell r="H3">
            <v>1</v>
          </cell>
          <cell r="I3">
            <v>5</v>
          </cell>
          <cell r="J3">
            <v>1</v>
          </cell>
          <cell r="K3">
            <v>2</v>
          </cell>
          <cell r="L3">
            <v>1</v>
          </cell>
          <cell r="M3">
            <v>4</v>
          </cell>
          <cell r="N3">
            <v>5</v>
          </cell>
          <cell r="O3">
            <v>2</v>
          </cell>
          <cell r="P3">
            <v>5</v>
          </cell>
          <cell r="Q3">
            <v>5</v>
          </cell>
          <cell r="R3">
            <v>5</v>
          </cell>
          <cell r="S3">
            <v>4</v>
          </cell>
          <cell r="T3">
            <v>5</v>
          </cell>
          <cell r="U3">
            <v>37</v>
          </cell>
          <cell r="V3">
            <v>21</v>
          </cell>
          <cell r="W3">
            <v>58</v>
          </cell>
          <cell r="X3" t="str">
            <v>Gaming, Watching TV</v>
          </cell>
          <cell r="Y3">
            <v>3</v>
          </cell>
          <cell r="Z3">
            <v>3</v>
          </cell>
          <cell r="AA3">
            <v>3</v>
          </cell>
          <cell r="AB3">
            <v>3</v>
          </cell>
          <cell r="AC3">
            <v>3</v>
          </cell>
          <cell r="AD3">
            <v>3</v>
          </cell>
          <cell r="AE3">
            <v>4</v>
          </cell>
          <cell r="AF3">
            <v>4</v>
          </cell>
          <cell r="AG3">
            <v>4</v>
          </cell>
          <cell r="AH3">
            <v>30</v>
          </cell>
          <cell r="AI3" t="str">
            <v>Arnold Palmer, steak</v>
          </cell>
          <cell r="AJ3">
            <v>3</v>
          </cell>
          <cell r="AK3">
            <v>4</v>
          </cell>
          <cell r="AL3">
            <v>4</v>
          </cell>
          <cell r="AM3">
            <v>4</v>
          </cell>
          <cell r="AN3">
            <v>4</v>
          </cell>
          <cell r="AO3">
            <v>4</v>
          </cell>
          <cell r="AP3">
            <v>23</v>
          </cell>
          <cell r="AQ3" t="str">
            <v>Playing sports, talking</v>
          </cell>
          <cell r="AR3">
            <v>4</v>
          </cell>
          <cell r="AS3">
            <v>4</v>
          </cell>
          <cell r="AT3">
            <v>2</v>
          </cell>
          <cell r="AU3">
            <v>3</v>
          </cell>
          <cell r="AV3">
            <v>3</v>
          </cell>
          <cell r="AW3">
            <v>4</v>
          </cell>
          <cell r="AX3">
            <v>20</v>
          </cell>
          <cell r="AY3" t="str">
            <v>Listening to music, walking on t</v>
          </cell>
          <cell r="AZ3">
            <v>2</v>
          </cell>
          <cell r="BA3">
            <v>2</v>
          </cell>
          <cell r="BB3">
            <v>2</v>
          </cell>
          <cell r="BC3">
            <v>2</v>
          </cell>
          <cell r="BD3">
            <v>2</v>
          </cell>
          <cell r="BE3">
            <v>10</v>
          </cell>
          <cell r="BF3">
            <v>83</v>
          </cell>
        </row>
        <row r="4">
          <cell r="A4">
            <v>815</v>
          </cell>
          <cell r="B4">
            <v>2</v>
          </cell>
          <cell r="C4">
            <v>6</v>
          </cell>
          <cell r="D4">
            <v>1</v>
          </cell>
          <cell r="E4">
            <v>5</v>
          </cell>
          <cell r="F4">
            <v>6</v>
          </cell>
          <cell r="G4">
            <v>6</v>
          </cell>
          <cell r="H4">
            <v>5</v>
          </cell>
          <cell r="I4">
            <v>2</v>
          </cell>
          <cell r="J4">
            <v>4</v>
          </cell>
          <cell r="K4">
            <v>1</v>
          </cell>
          <cell r="L4">
            <v>6</v>
          </cell>
          <cell r="M4">
            <v>1</v>
          </cell>
          <cell r="N4">
            <v>2</v>
          </cell>
          <cell r="O4">
            <v>5</v>
          </cell>
          <cell r="P4">
            <v>6</v>
          </cell>
          <cell r="Q4">
            <v>4</v>
          </cell>
          <cell r="R4">
            <v>4</v>
          </cell>
          <cell r="S4">
            <v>4</v>
          </cell>
          <cell r="T4">
            <v>5</v>
          </cell>
          <cell r="U4">
            <v>40</v>
          </cell>
          <cell r="V4">
            <v>33</v>
          </cell>
          <cell r="W4">
            <v>73</v>
          </cell>
          <cell r="X4" t="str">
            <v>taking care of plants, exercise</v>
          </cell>
          <cell r="Y4">
            <v>4</v>
          </cell>
          <cell r="Z4">
            <v>4</v>
          </cell>
          <cell r="AA4">
            <v>4</v>
          </cell>
          <cell r="AB4">
            <v>4</v>
          </cell>
          <cell r="AC4">
            <v>4</v>
          </cell>
          <cell r="AD4">
            <v>4</v>
          </cell>
          <cell r="AE4">
            <v>3</v>
          </cell>
          <cell r="AF4">
            <v>3</v>
          </cell>
          <cell r="AG4">
            <v>1</v>
          </cell>
          <cell r="AH4">
            <v>31</v>
          </cell>
          <cell r="AI4" t="str">
            <v>iced latte, anything with salmon</v>
          </cell>
          <cell r="AJ4">
            <v>3</v>
          </cell>
          <cell r="AK4">
            <v>3</v>
          </cell>
          <cell r="AL4">
            <v>3</v>
          </cell>
          <cell r="AM4">
            <v>2</v>
          </cell>
          <cell r="AN4">
            <v>3</v>
          </cell>
          <cell r="AO4">
            <v>4</v>
          </cell>
          <cell r="AP4">
            <v>18</v>
          </cell>
          <cell r="AQ4" t="str">
            <v>doing exercise classes with frie</v>
          </cell>
          <cell r="AR4">
            <v>3</v>
          </cell>
          <cell r="AS4">
            <v>2</v>
          </cell>
          <cell r="AT4">
            <v>2</v>
          </cell>
          <cell r="AU4">
            <v>4</v>
          </cell>
          <cell r="AV4">
            <v>4</v>
          </cell>
          <cell r="AW4">
            <v>4</v>
          </cell>
          <cell r="AX4">
            <v>19</v>
          </cell>
          <cell r="AY4" t="str">
            <v>the first sip of my morning latt</v>
          </cell>
          <cell r="AZ4">
            <v>3</v>
          </cell>
          <cell r="BA4">
            <v>2</v>
          </cell>
          <cell r="BB4">
            <v>2</v>
          </cell>
          <cell r="BC4">
            <v>3</v>
          </cell>
          <cell r="BD4">
            <v>3</v>
          </cell>
          <cell r="BE4">
            <v>13</v>
          </cell>
          <cell r="BF4">
            <v>81</v>
          </cell>
        </row>
        <row r="5">
          <cell r="A5">
            <v>821</v>
          </cell>
          <cell r="B5">
            <v>2</v>
          </cell>
          <cell r="C5">
            <v>4</v>
          </cell>
          <cell r="D5">
            <v>1</v>
          </cell>
          <cell r="E5">
            <v>2</v>
          </cell>
          <cell r="F5">
            <v>2</v>
          </cell>
          <cell r="G5">
            <v>1</v>
          </cell>
          <cell r="H5">
            <v>5</v>
          </cell>
          <cell r="I5">
            <v>1</v>
          </cell>
          <cell r="J5">
            <v>5</v>
          </cell>
          <cell r="K5">
            <v>1</v>
          </cell>
          <cell r="L5">
            <v>1</v>
          </cell>
          <cell r="M5">
            <v>4</v>
          </cell>
          <cell r="N5">
            <v>6</v>
          </cell>
          <cell r="O5">
            <v>1</v>
          </cell>
          <cell r="P5">
            <v>6</v>
          </cell>
          <cell r="Q5">
            <v>5</v>
          </cell>
          <cell r="R5">
            <v>5</v>
          </cell>
          <cell r="S5">
            <v>5</v>
          </cell>
          <cell r="T5">
            <v>2</v>
          </cell>
          <cell r="U5">
            <v>21</v>
          </cell>
          <cell r="V5">
            <v>32</v>
          </cell>
          <cell r="W5">
            <v>53</v>
          </cell>
          <cell r="X5" t="str">
            <v>walking  Crime TV series</v>
          </cell>
          <cell r="Y5">
            <v>3</v>
          </cell>
          <cell r="Z5">
            <v>3</v>
          </cell>
          <cell r="AA5">
            <v>3</v>
          </cell>
          <cell r="AB5">
            <v>3</v>
          </cell>
          <cell r="AC5">
            <v>3</v>
          </cell>
          <cell r="AD5">
            <v>2</v>
          </cell>
          <cell r="AE5">
            <v>2</v>
          </cell>
          <cell r="AF5">
            <v>3</v>
          </cell>
          <cell r="AG5">
            <v>3</v>
          </cell>
          <cell r="AH5">
            <v>25</v>
          </cell>
          <cell r="AI5" t="str">
            <v>Coffee  Salmon</v>
          </cell>
          <cell r="AJ5">
            <v>3</v>
          </cell>
          <cell r="AK5">
            <v>3</v>
          </cell>
          <cell r="AL5">
            <v>4</v>
          </cell>
          <cell r="AM5">
            <v>3</v>
          </cell>
          <cell r="AN5">
            <v>3</v>
          </cell>
          <cell r="AO5">
            <v>4</v>
          </cell>
          <cell r="AP5">
            <v>20</v>
          </cell>
          <cell r="AQ5" t="str">
            <v>Coffee dates with friends  Walki</v>
          </cell>
          <cell r="AR5">
            <v>2</v>
          </cell>
          <cell r="AS5">
            <v>2</v>
          </cell>
          <cell r="AT5">
            <v>3</v>
          </cell>
          <cell r="AU5">
            <v>1</v>
          </cell>
          <cell r="AV5">
            <v>3</v>
          </cell>
          <cell r="AW5">
            <v>3</v>
          </cell>
          <cell r="AX5">
            <v>14</v>
          </cell>
          <cell r="AY5" t="str">
            <v>walking around nature  listening</v>
          </cell>
          <cell r="AZ5">
            <v>3</v>
          </cell>
          <cell r="BA5">
            <v>2</v>
          </cell>
          <cell r="BB5">
            <v>2</v>
          </cell>
          <cell r="BC5">
            <v>3</v>
          </cell>
          <cell r="BD5">
            <v>3</v>
          </cell>
          <cell r="BE5">
            <v>13</v>
          </cell>
          <cell r="BF5">
            <v>72</v>
          </cell>
        </row>
        <row r="6">
          <cell r="A6">
            <v>822</v>
          </cell>
          <cell r="B6">
            <v>5</v>
          </cell>
          <cell r="C6">
            <v>6</v>
          </cell>
          <cell r="D6">
            <v>4</v>
          </cell>
          <cell r="E6">
            <v>6</v>
          </cell>
          <cell r="F6">
            <v>1</v>
          </cell>
          <cell r="G6">
            <v>5</v>
          </cell>
          <cell r="H6">
            <v>5</v>
          </cell>
          <cell r="I6">
            <v>3</v>
          </cell>
          <cell r="J6">
            <v>6</v>
          </cell>
          <cell r="K6">
            <v>4</v>
          </cell>
          <cell r="L6">
            <v>4</v>
          </cell>
          <cell r="M6">
            <v>3</v>
          </cell>
          <cell r="N6">
            <v>6</v>
          </cell>
          <cell r="O6">
            <v>1</v>
          </cell>
          <cell r="P6">
            <v>5</v>
          </cell>
          <cell r="Q6">
            <v>5</v>
          </cell>
          <cell r="R6">
            <v>5</v>
          </cell>
          <cell r="S6">
            <v>6</v>
          </cell>
          <cell r="T6">
            <v>6</v>
          </cell>
          <cell r="U6">
            <v>44</v>
          </cell>
          <cell r="V6">
            <v>36</v>
          </cell>
          <cell r="W6">
            <v>80</v>
          </cell>
          <cell r="X6" t="str">
            <v>1. Playstation  2. videography</v>
          </cell>
          <cell r="Y6">
            <v>4</v>
          </cell>
          <cell r="Z6">
            <v>4</v>
          </cell>
          <cell r="AA6">
            <v>4</v>
          </cell>
          <cell r="AB6">
            <v>4</v>
          </cell>
          <cell r="AC6">
            <v>4</v>
          </cell>
          <cell r="AD6">
            <v>2</v>
          </cell>
          <cell r="AE6">
            <v>3</v>
          </cell>
          <cell r="AF6">
            <v>2</v>
          </cell>
          <cell r="AG6">
            <v>3</v>
          </cell>
          <cell r="AH6">
            <v>30</v>
          </cell>
          <cell r="AI6" t="str">
            <v>1. Chilean Seabass  2. French to</v>
          </cell>
          <cell r="AJ6">
            <v>4</v>
          </cell>
          <cell r="AK6">
            <v>4</v>
          </cell>
          <cell r="AL6">
            <v>4</v>
          </cell>
          <cell r="AM6">
            <v>4</v>
          </cell>
          <cell r="AN6">
            <v>4</v>
          </cell>
          <cell r="AO6">
            <v>4</v>
          </cell>
          <cell r="AP6">
            <v>24</v>
          </cell>
          <cell r="AQ6" t="str">
            <v>1. Go-karting  2. Watching a mov</v>
          </cell>
          <cell r="AR6">
            <v>4</v>
          </cell>
          <cell r="AS6">
            <v>2</v>
          </cell>
          <cell r="AT6">
            <v>2</v>
          </cell>
          <cell r="AU6">
            <v>3</v>
          </cell>
          <cell r="AV6">
            <v>4</v>
          </cell>
          <cell r="AW6">
            <v>3</v>
          </cell>
          <cell r="AX6">
            <v>18</v>
          </cell>
          <cell r="AY6" t="str">
            <v>1. Waling on a beach  2. Listeni</v>
          </cell>
          <cell r="AZ6">
            <v>4</v>
          </cell>
          <cell r="BA6">
            <v>4</v>
          </cell>
          <cell r="BB6">
            <v>4</v>
          </cell>
          <cell r="BC6">
            <v>4</v>
          </cell>
          <cell r="BD6">
            <v>4</v>
          </cell>
          <cell r="BE6">
            <v>20</v>
          </cell>
          <cell r="BF6">
            <v>92</v>
          </cell>
        </row>
        <row r="7">
          <cell r="A7">
            <v>823</v>
          </cell>
          <cell r="B7">
            <v>4</v>
          </cell>
          <cell r="C7">
            <v>4</v>
          </cell>
          <cell r="D7">
            <v>5</v>
          </cell>
          <cell r="E7">
            <v>4</v>
          </cell>
          <cell r="F7">
            <v>4</v>
          </cell>
          <cell r="G7">
            <v>3</v>
          </cell>
          <cell r="H7">
            <v>5</v>
          </cell>
          <cell r="I7">
            <v>4</v>
          </cell>
          <cell r="J7">
            <v>6</v>
          </cell>
          <cell r="K7">
            <v>1</v>
          </cell>
          <cell r="L7">
            <v>2</v>
          </cell>
          <cell r="M7">
            <v>4</v>
          </cell>
          <cell r="N7">
            <v>5</v>
          </cell>
          <cell r="O7">
            <v>2</v>
          </cell>
          <cell r="P7">
            <v>4</v>
          </cell>
          <cell r="Q7">
            <v>3</v>
          </cell>
          <cell r="R7">
            <v>4</v>
          </cell>
          <cell r="S7">
            <v>4</v>
          </cell>
          <cell r="T7">
            <v>4</v>
          </cell>
          <cell r="U7">
            <v>31</v>
          </cell>
          <cell r="V7">
            <v>36</v>
          </cell>
          <cell r="W7">
            <v>67</v>
          </cell>
          <cell r="X7" t="str">
            <v>Vintage clothes, games</v>
          </cell>
          <cell r="Y7">
            <v>2</v>
          </cell>
          <cell r="Z7">
            <v>2</v>
          </cell>
          <cell r="AA7">
            <v>2</v>
          </cell>
          <cell r="AB7">
            <v>2</v>
          </cell>
          <cell r="AC7">
            <v>2</v>
          </cell>
          <cell r="AD7">
            <v>2</v>
          </cell>
          <cell r="AE7">
            <v>1</v>
          </cell>
          <cell r="AF7">
            <v>1</v>
          </cell>
          <cell r="AG7">
            <v>2</v>
          </cell>
          <cell r="AH7">
            <v>16</v>
          </cell>
          <cell r="AI7" t="str">
            <v>Pasta, London Fog</v>
          </cell>
          <cell r="AJ7">
            <v>2</v>
          </cell>
          <cell r="AK7">
            <v>3</v>
          </cell>
          <cell r="AL7">
            <v>3</v>
          </cell>
          <cell r="AM7">
            <v>3</v>
          </cell>
          <cell r="AN7">
            <v>3</v>
          </cell>
          <cell r="AO7">
            <v>2</v>
          </cell>
          <cell r="AP7">
            <v>16</v>
          </cell>
          <cell r="AQ7" t="str">
            <v>Dancing (swing, line, etc), anyt</v>
          </cell>
          <cell r="AR7">
            <v>3</v>
          </cell>
          <cell r="AS7">
            <v>2</v>
          </cell>
          <cell r="AT7">
            <v>1</v>
          </cell>
          <cell r="AU7">
            <v>2</v>
          </cell>
          <cell r="AV7">
            <v>2</v>
          </cell>
          <cell r="AW7">
            <v>0</v>
          </cell>
          <cell r="AX7">
            <v>10</v>
          </cell>
          <cell r="AY7" t="str">
            <v>Listening to music (esp records)</v>
          </cell>
          <cell r="AZ7">
            <v>1</v>
          </cell>
          <cell r="BA7">
            <v>2</v>
          </cell>
          <cell r="BB7">
            <v>1</v>
          </cell>
          <cell r="BC7">
            <v>2</v>
          </cell>
          <cell r="BD7">
            <v>1</v>
          </cell>
          <cell r="BE7">
            <v>7</v>
          </cell>
          <cell r="BF7">
            <v>49</v>
          </cell>
        </row>
        <row r="8">
          <cell r="A8">
            <v>825</v>
          </cell>
          <cell r="B8">
            <v>2</v>
          </cell>
          <cell r="C8">
            <v>6</v>
          </cell>
          <cell r="D8">
            <v>6</v>
          </cell>
          <cell r="E8">
            <v>4</v>
          </cell>
          <cell r="F8">
            <v>6</v>
          </cell>
          <cell r="G8">
            <v>6</v>
          </cell>
          <cell r="H8">
            <v>6</v>
          </cell>
          <cell r="I8">
            <v>6</v>
          </cell>
          <cell r="J8">
            <v>6</v>
          </cell>
          <cell r="K8">
            <v>6</v>
          </cell>
          <cell r="L8">
            <v>4</v>
          </cell>
          <cell r="M8">
            <v>4</v>
          </cell>
          <cell r="N8">
            <v>4</v>
          </cell>
          <cell r="O8">
            <v>3</v>
          </cell>
          <cell r="P8">
            <v>6</v>
          </cell>
          <cell r="Q8">
            <v>6</v>
          </cell>
          <cell r="R8">
            <v>6</v>
          </cell>
          <cell r="S8">
            <v>6</v>
          </cell>
          <cell r="T8">
            <v>5</v>
          </cell>
          <cell r="U8">
            <v>48</v>
          </cell>
          <cell r="V8">
            <v>46</v>
          </cell>
          <cell r="W8">
            <v>94</v>
          </cell>
          <cell r="X8" t="str">
            <v>Reading, gardening</v>
          </cell>
          <cell r="Y8">
            <v>3</v>
          </cell>
          <cell r="Z8">
            <v>4</v>
          </cell>
          <cell r="AA8">
            <v>1</v>
          </cell>
          <cell r="AB8">
            <v>4</v>
          </cell>
          <cell r="AC8">
            <v>4</v>
          </cell>
          <cell r="AD8">
            <v>4</v>
          </cell>
          <cell r="AE8">
            <v>1</v>
          </cell>
          <cell r="AF8">
            <v>1</v>
          </cell>
          <cell r="AG8">
            <v>4</v>
          </cell>
          <cell r="AH8">
            <v>26</v>
          </cell>
          <cell r="AI8" t="str">
            <v>Starbucks, Wendy's</v>
          </cell>
          <cell r="AJ8">
            <v>2</v>
          </cell>
          <cell r="AK8">
            <v>4</v>
          </cell>
          <cell r="AL8">
            <v>4</v>
          </cell>
          <cell r="AM8">
            <v>4</v>
          </cell>
          <cell r="AN8">
            <v>2</v>
          </cell>
          <cell r="AO8">
            <v>1</v>
          </cell>
          <cell r="AP8">
            <v>17</v>
          </cell>
          <cell r="AQ8" t="str">
            <v>Walking in parks, shopping</v>
          </cell>
          <cell r="AR8">
            <v>4</v>
          </cell>
          <cell r="AS8">
            <v>2</v>
          </cell>
          <cell r="AT8">
            <v>1</v>
          </cell>
          <cell r="AU8">
            <v>2</v>
          </cell>
          <cell r="AV8">
            <v>1</v>
          </cell>
          <cell r="AW8">
            <v>1</v>
          </cell>
          <cell r="AX8">
            <v>11</v>
          </cell>
          <cell r="AY8" t="str">
            <v>Sitting in the grass, cuddling</v>
          </cell>
          <cell r="AZ8">
            <v>3</v>
          </cell>
          <cell r="BA8">
            <v>4</v>
          </cell>
          <cell r="BB8">
            <v>4</v>
          </cell>
          <cell r="BC8">
            <v>4</v>
          </cell>
          <cell r="BD8">
            <v>2</v>
          </cell>
          <cell r="BE8">
            <v>17</v>
          </cell>
          <cell r="BF8">
            <v>71</v>
          </cell>
        </row>
        <row r="9">
          <cell r="A9">
            <v>829</v>
          </cell>
          <cell r="B9">
            <v>2</v>
          </cell>
          <cell r="C9">
            <v>6</v>
          </cell>
          <cell r="D9">
            <v>6</v>
          </cell>
          <cell r="E9">
            <v>6</v>
          </cell>
          <cell r="F9">
            <v>6</v>
          </cell>
          <cell r="G9">
            <v>4</v>
          </cell>
          <cell r="H9">
            <v>6</v>
          </cell>
          <cell r="I9">
            <v>4</v>
          </cell>
          <cell r="J9">
            <v>4</v>
          </cell>
          <cell r="K9">
            <v>4</v>
          </cell>
          <cell r="L9">
            <v>4</v>
          </cell>
          <cell r="M9">
            <v>4</v>
          </cell>
          <cell r="N9">
            <v>5</v>
          </cell>
          <cell r="O9">
            <v>2</v>
          </cell>
          <cell r="P9">
            <v>5</v>
          </cell>
          <cell r="Q9">
            <v>5</v>
          </cell>
          <cell r="R9">
            <v>4</v>
          </cell>
          <cell r="S9">
            <v>4</v>
          </cell>
          <cell r="T9">
            <v>6</v>
          </cell>
          <cell r="U9">
            <v>41</v>
          </cell>
          <cell r="V9">
            <v>41</v>
          </cell>
          <cell r="W9">
            <v>82</v>
          </cell>
          <cell r="X9" t="str">
            <v>Bike Riding  Cooking  Hiking</v>
          </cell>
          <cell r="Y9">
            <v>4</v>
          </cell>
          <cell r="Z9">
            <v>3</v>
          </cell>
          <cell r="AA9">
            <v>3</v>
          </cell>
          <cell r="AB9">
            <v>4</v>
          </cell>
          <cell r="AC9">
            <v>3</v>
          </cell>
          <cell r="AD9">
            <v>4</v>
          </cell>
          <cell r="AE9">
            <v>4</v>
          </cell>
          <cell r="AF9">
            <v>4</v>
          </cell>
          <cell r="AG9">
            <v>4</v>
          </cell>
          <cell r="AH9">
            <v>33</v>
          </cell>
          <cell r="AI9" t="str">
            <v>Fish &amp; Chips  Root Beer Float</v>
          </cell>
          <cell r="AJ9">
            <v>4</v>
          </cell>
          <cell r="AK9">
            <v>4</v>
          </cell>
          <cell r="AL9">
            <v>4</v>
          </cell>
          <cell r="AM9">
            <v>4</v>
          </cell>
          <cell r="AN9">
            <v>4</v>
          </cell>
          <cell r="AO9">
            <v>4</v>
          </cell>
          <cell r="AP9">
            <v>24</v>
          </cell>
          <cell r="AQ9" t="str">
            <v>Meeting Friends for coffee  play</v>
          </cell>
          <cell r="AR9">
            <v>4</v>
          </cell>
          <cell r="AS9">
            <v>4</v>
          </cell>
          <cell r="AT9">
            <v>4</v>
          </cell>
          <cell r="AU9">
            <v>4</v>
          </cell>
          <cell r="AV9">
            <v>4</v>
          </cell>
          <cell r="AW9">
            <v>4</v>
          </cell>
          <cell r="AX9">
            <v>24</v>
          </cell>
          <cell r="AY9" t="str">
            <v>Hiking in state park with friend</v>
          </cell>
          <cell r="AZ9">
            <v>4</v>
          </cell>
          <cell r="BA9">
            <v>4</v>
          </cell>
          <cell r="BB9">
            <v>4</v>
          </cell>
          <cell r="BC9">
            <v>4</v>
          </cell>
          <cell r="BD9">
            <v>4</v>
          </cell>
          <cell r="BE9">
            <v>20</v>
          </cell>
          <cell r="BF9">
            <v>101</v>
          </cell>
        </row>
        <row r="10">
          <cell r="A10">
            <v>831</v>
          </cell>
          <cell r="B10">
            <v>1</v>
          </cell>
          <cell r="C10">
            <v>6</v>
          </cell>
          <cell r="D10">
            <v>1</v>
          </cell>
          <cell r="E10">
            <v>2</v>
          </cell>
          <cell r="F10">
            <v>1</v>
          </cell>
          <cell r="G10">
            <v>2</v>
          </cell>
          <cell r="H10">
            <v>4</v>
          </cell>
          <cell r="I10">
            <v>4</v>
          </cell>
          <cell r="J10">
            <v>1</v>
          </cell>
          <cell r="K10">
            <v>1</v>
          </cell>
          <cell r="L10">
            <v>1</v>
          </cell>
          <cell r="M10">
            <v>1</v>
          </cell>
          <cell r="N10">
            <v>4</v>
          </cell>
          <cell r="O10">
            <v>3</v>
          </cell>
          <cell r="P10">
            <v>4</v>
          </cell>
          <cell r="Q10">
            <v>1</v>
          </cell>
          <cell r="R10">
            <v>1</v>
          </cell>
          <cell r="S10">
            <v>6</v>
          </cell>
          <cell r="T10">
            <v>4</v>
          </cell>
          <cell r="U10">
            <v>20</v>
          </cell>
          <cell r="V10">
            <v>24</v>
          </cell>
          <cell r="W10">
            <v>44</v>
          </cell>
          <cell r="X10" t="str">
            <v>Fishing, Hiking</v>
          </cell>
          <cell r="Y10">
            <v>0</v>
          </cell>
          <cell r="Z10">
            <v>0</v>
          </cell>
          <cell r="AA10">
            <v>0</v>
          </cell>
          <cell r="AB10">
            <v>4</v>
          </cell>
          <cell r="AC10">
            <v>4</v>
          </cell>
          <cell r="AD10">
            <v>0</v>
          </cell>
          <cell r="AE10">
            <v>0</v>
          </cell>
          <cell r="AF10">
            <v>4</v>
          </cell>
          <cell r="AG10">
            <v>4</v>
          </cell>
          <cell r="AH10">
            <v>16</v>
          </cell>
          <cell r="AI10" t="str">
            <v>subs, tea</v>
          </cell>
          <cell r="AJ10">
            <v>1</v>
          </cell>
          <cell r="AK10">
            <v>4</v>
          </cell>
          <cell r="AL10">
            <v>4</v>
          </cell>
          <cell r="AM10">
            <v>1</v>
          </cell>
          <cell r="AN10">
            <v>1</v>
          </cell>
          <cell r="AO10">
            <v>1</v>
          </cell>
          <cell r="AP10">
            <v>12</v>
          </cell>
          <cell r="AQ10" t="str">
            <v>cookouts, cutting wood</v>
          </cell>
          <cell r="AR10">
            <v>0</v>
          </cell>
          <cell r="AS10">
            <v>0</v>
          </cell>
          <cell r="AT10">
            <v>0</v>
          </cell>
          <cell r="AU10">
            <v>0</v>
          </cell>
          <cell r="AV10">
            <v>0</v>
          </cell>
          <cell r="AW10">
            <v>0</v>
          </cell>
          <cell r="AX10">
            <v>0</v>
          </cell>
          <cell r="AY10" t="str">
            <v>music, reading</v>
          </cell>
          <cell r="AZ10">
            <v>1</v>
          </cell>
          <cell r="BA10">
            <v>0</v>
          </cell>
          <cell r="BB10">
            <v>4</v>
          </cell>
          <cell r="BC10">
            <v>4</v>
          </cell>
          <cell r="BD10">
            <v>1</v>
          </cell>
          <cell r="BE10">
            <v>10</v>
          </cell>
          <cell r="BF10">
            <v>38</v>
          </cell>
        </row>
        <row r="11">
          <cell r="A11">
            <v>833</v>
          </cell>
          <cell r="B11">
            <v>4</v>
          </cell>
          <cell r="C11">
            <v>6</v>
          </cell>
          <cell r="D11">
            <v>6</v>
          </cell>
          <cell r="E11">
            <v>6</v>
          </cell>
          <cell r="F11">
            <v>4</v>
          </cell>
          <cell r="G11">
            <v>6</v>
          </cell>
          <cell r="H11">
            <v>4</v>
          </cell>
          <cell r="I11">
            <v>3</v>
          </cell>
          <cell r="J11">
            <v>6</v>
          </cell>
          <cell r="K11">
            <v>4</v>
          </cell>
          <cell r="L11">
            <v>1</v>
          </cell>
          <cell r="M11">
            <v>3</v>
          </cell>
          <cell r="N11">
            <v>6</v>
          </cell>
          <cell r="O11">
            <v>1</v>
          </cell>
          <cell r="P11">
            <v>6</v>
          </cell>
          <cell r="Q11">
            <v>5</v>
          </cell>
          <cell r="R11">
            <v>3</v>
          </cell>
          <cell r="S11">
            <v>5</v>
          </cell>
          <cell r="T11">
            <v>6</v>
          </cell>
          <cell r="U11">
            <v>39</v>
          </cell>
          <cell r="V11">
            <v>40</v>
          </cell>
          <cell r="W11">
            <v>79</v>
          </cell>
          <cell r="X11" t="str">
            <v>Playing the piano.  Learning a n</v>
          </cell>
          <cell r="Y11">
            <v>4</v>
          </cell>
          <cell r="Z11">
            <v>4</v>
          </cell>
          <cell r="AA11">
            <v>4</v>
          </cell>
          <cell r="AB11">
            <v>4</v>
          </cell>
          <cell r="AC11">
            <v>4</v>
          </cell>
          <cell r="AD11">
            <v>4</v>
          </cell>
          <cell r="AE11">
            <v>4</v>
          </cell>
          <cell r="AF11">
            <v>4</v>
          </cell>
          <cell r="AG11">
            <v>4</v>
          </cell>
          <cell r="AH11">
            <v>36</v>
          </cell>
          <cell r="AI11" t="str">
            <v>Fruit.  ice cream.</v>
          </cell>
          <cell r="AJ11">
            <v>4</v>
          </cell>
          <cell r="AK11">
            <v>4</v>
          </cell>
          <cell r="AL11">
            <v>4</v>
          </cell>
          <cell r="AM11">
            <v>0</v>
          </cell>
          <cell r="AN11">
            <v>4</v>
          </cell>
          <cell r="AO11">
            <v>3</v>
          </cell>
          <cell r="AP11">
            <v>19</v>
          </cell>
          <cell r="AQ11" t="str">
            <v>Family activities.  Church.</v>
          </cell>
          <cell r="AR11">
            <v>4</v>
          </cell>
          <cell r="AS11">
            <v>4</v>
          </cell>
          <cell r="AT11">
            <v>2</v>
          </cell>
          <cell r="AU11">
            <v>4</v>
          </cell>
          <cell r="AV11">
            <v>4</v>
          </cell>
          <cell r="AW11">
            <v>4</v>
          </cell>
          <cell r="AX11">
            <v>22</v>
          </cell>
          <cell r="AY11" t="str">
            <v>Listening to music.  Hugs from m</v>
          </cell>
          <cell r="AZ11">
            <v>4</v>
          </cell>
          <cell r="BA11">
            <v>4</v>
          </cell>
          <cell r="BB11">
            <v>4</v>
          </cell>
          <cell r="BC11">
            <v>4</v>
          </cell>
          <cell r="BD11">
            <v>4</v>
          </cell>
          <cell r="BE11">
            <v>20</v>
          </cell>
          <cell r="BF11">
            <v>97</v>
          </cell>
        </row>
        <row r="12">
          <cell r="A12">
            <v>834</v>
          </cell>
          <cell r="B12">
            <v>1</v>
          </cell>
          <cell r="C12">
            <v>5</v>
          </cell>
          <cell r="D12">
            <v>2</v>
          </cell>
          <cell r="E12">
            <v>1</v>
          </cell>
          <cell r="F12">
            <v>3</v>
          </cell>
          <cell r="G12">
            <v>3</v>
          </cell>
          <cell r="H12">
            <v>4</v>
          </cell>
          <cell r="I12">
            <v>2</v>
          </cell>
          <cell r="J12">
            <v>5</v>
          </cell>
          <cell r="K12">
            <v>1</v>
          </cell>
          <cell r="L12">
            <v>4</v>
          </cell>
          <cell r="M12">
            <v>1</v>
          </cell>
          <cell r="N12">
            <v>5</v>
          </cell>
          <cell r="O12">
            <v>2</v>
          </cell>
          <cell r="P12">
            <v>5</v>
          </cell>
          <cell r="Q12">
            <v>3</v>
          </cell>
          <cell r="R12">
            <v>2</v>
          </cell>
          <cell r="S12">
            <v>1</v>
          </cell>
          <cell r="T12">
            <v>5</v>
          </cell>
          <cell r="U12">
            <v>24</v>
          </cell>
          <cell r="V12">
            <v>26</v>
          </cell>
          <cell r="W12">
            <v>50</v>
          </cell>
          <cell r="X12" t="str">
            <v>Yoga  Zumba  Watching movies and</v>
          </cell>
          <cell r="Y12">
            <v>2</v>
          </cell>
          <cell r="Z12">
            <v>1</v>
          </cell>
          <cell r="AA12">
            <v>1</v>
          </cell>
          <cell r="AB12">
            <v>1</v>
          </cell>
          <cell r="AC12">
            <v>2</v>
          </cell>
          <cell r="AD12">
            <v>1</v>
          </cell>
          <cell r="AE12">
            <v>1</v>
          </cell>
          <cell r="AF12">
            <v>1</v>
          </cell>
          <cell r="AG12">
            <v>1</v>
          </cell>
          <cell r="AH12">
            <v>11</v>
          </cell>
          <cell r="AI12" t="str">
            <v>Fruits  Spaghetti/pasta  Seafood</v>
          </cell>
          <cell r="AJ12">
            <v>2</v>
          </cell>
          <cell r="AK12">
            <v>2</v>
          </cell>
          <cell r="AL12">
            <v>2</v>
          </cell>
          <cell r="AM12">
            <v>2</v>
          </cell>
          <cell r="AN12">
            <v>1</v>
          </cell>
          <cell r="AO12">
            <v>1</v>
          </cell>
          <cell r="AP12">
            <v>10</v>
          </cell>
          <cell r="AQ12" t="str">
            <v>Playing games with friends/famil</v>
          </cell>
          <cell r="AR12">
            <v>1</v>
          </cell>
          <cell r="AS12">
            <v>1</v>
          </cell>
          <cell r="AT12">
            <v>0</v>
          </cell>
          <cell r="AU12">
            <v>1</v>
          </cell>
          <cell r="AV12">
            <v>1</v>
          </cell>
          <cell r="AW12">
            <v>0</v>
          </cell>
          <cell r="AX12">
            <v>4</v>
          </cell>
          <cell r="AY12" t="str">
            <v>Petting my cat  Listening to mus</v>
          </cell>
          <cell r="AZ12">
            <v>1</v>
          </cell>
          <cell r="BA12">
            <v>1</v>
          </cell>
          <cell r="BB12">
            <v>0</v>
          </cell>
          <cell r="BC12">
            <v>2</v>
          </cell>
          <cell r="BD12">
            <v>1</v>
          </cell>
          <cell r="BE12">
            <v>5</v>
          </cell>
          <cell r="BF12">
            <v>30</v>
          </cell>
        </row>
        <row r="13">
          <cell r="A13">
            <v>837</v>
          </cell>
          <cell r="B13">
            <v>4</v>
          </cell>
          <cell r="C13">
            <v>5</v>
          </cell>
          <cell r="D13">
            <v>5</v>
          </cell>
          <cell r="E13">
            <v>6</v>
          </cell>
          <cell r="F13">
            <v>4</v>
          </cell>
          <cell r="G13">
            <v>6</v>
          </cell>
          <cell r="H13">
            <v>5</v>
          </cell>
          <cell r="I13">
            <v>3</v>
          </cell>
          <cell r="J13">
            <v>5</v>
          </cell>
          <cell r="K13">
            <v>4</v>
          </cell>
          <cell r="L13">
            <v>6</v>
          </cell>
          <cell r="M13">
            <v>3</v>
          </cell>
          <cell r="N13">
            <v>5</v>
          </cell>
          <cell r="O13">
            <v>2</v>
          </cell>
          <cell r="P13">
            <v>4</v>
          </cell>
          <cell r="Q13">
            <v>5</v>
          </cell>
          <cell r="R13">
            <v>5</v>
          </cell>
          <cell r="S13">
            <v>6</v>
          </cell>
          <cell r="T13">
            <v>5</v>
          </cell>
          <cell r="U13">
            <v>46</v>
          </cell>
          <cell r="V13">
            <v>37</v>
          </cell>
          <cell r="W13">
            <v>83</v>
          </cell>
          <cell r="X13" t="str">
            <v>watching football, movies.</v>
          </cell>
          <cell r="Y13">
            <v>4</v>
          </cell>
          <cell r="Z13">
            <v>4</v>
          </cell>
          <cell r="AA13">
            <v>4</v>
          </cell>
          <cell r="AB13">
            <v>4</v>
          </cell>
          <cell r="AC13">
            <v>4</v>
          </cell>
          <cell r="AD13">
            <v>4</v>
          </cell>
          <cell r="AE13">
            <v>4</v>
          </cell>
          <cell r="AF13">
            <v>4</v>
          </cell>
          <cell r="AG13">
            <v>4</v>
          </cell>
          <cell r="AH13">
            <v>36</v>
          </cell>
          <cell r="AI13" t="str">
            <v>steak, iced tea</v>
          </cell>
          <cell r="AJ13">
            <v>4</v>
          </cell>
          <cell r="AK13">
            <v>4</v>
          </cell>
          <cell r="AL13">
            <v>4</v>
          </cell>
          <cell r="AM13">
            <v>4</v>
          </cell>
          <cell r="AN13">
            <v>4</v>
          </cell>
          <cell r="AO13">
            <v>4</v>
          </cell>
          <cell r="AP13">
            <v>24</v>
          </cell>
          <cell r="AQ13" t="str">
            <v>meeting friends at camp fires, t</v>
          </cell>
          <cell r="AR13">
            <v>4</v>
          </cell>
          <cell r="AS13">
            <v>4</v>
          </cell>
          <cell r="AT13">
            <v>4</v>
          </cell>
          <cell r="AU13">
            <v>4</v>
          </cell>
          <cell r="AV13">
            <v>4</v>
          </cell>
          <cell r="AW13">
            <v>4</v>
          </cell>
          <cell r="AX13">
            <v>24</v>
          </cell>
          <cell r="AY13" t="str">
            <v>listening to music, watching nat</v>
          </cell>
          <cell r="AZ13">
            <v>4</v>
          </cell>
          <cell r="BA13">
            <v>4</v>
          </cell>
          <cell r="BB13">
            <v>4</v>
          </cell>
          <cell r="BC13">
            <v>4</v>
          </cell>
          <cell r="BD13">
            <v>4</v>
          </cell>
          <cell r="BE13">
            <v>20</v>
          </cell>
          <cell r="BF13">
            <v>104</v>
          </cell>
        </row>
        <row r="14">
          <cell r="A14">
            <v>845</v>
          </cell>
          <cell r="B14">
            <v>6</v>
          </cell>
          <cell r="C14">
            <v>6</v>
          </cell>
          <cell r="D14">
            <v>4</v>
          </cell>
          <cell r="E14">
            <v>6</v>
          </cell>
          <cell r="F14">
            <v>1</v>
          </cell>
          <cell r="G14">
            <v>6</v>
          </cell>
          <cell r="H14">
            <v>6</v>
          </cell>
          <cell r="I14">
            <v>1</v>
          </cell>
          <cell r="J14">
            <v>4</v>
          </cell>
          <cell r="K14">
            <v>2</v>
          </cell>
          <cell r="L14">
            <v>1</v>
          </cell>
          <cell r="M14">
            <v>3</v>
          </cell>
          <cell r="N14">
            <v>1</v>
          </cell>
          <cell r="O14">
            <v>6</v>
          </cell>
          <cell r="P14">
            <v>6</v>
          </cell>
          <cell r="Q14">
            <v>4</v>
          </cell>
          <cell r="R14">
            <v>4</v>
          </cell>
          <cell r="S14">
            <v>6</v>
          </cell>
          <cell r="T14">
            <v>6</v>
          </cell>
          <cell r="U14">
            <v>42</v>
          </cell>
          <cell r="V14">
            <v>36</v>
          </cell>
          <cell r="W14">
            <v>78</v>
          </cell>
          <cell r="X14" t="str">
            <v>video games and training</v>
          </cell>
          <cell r="Y14">
            <v>4</v>
          </cell>
          <cell r="Z14">
            <v>4</v>
          </cell>
          <cell r="AA14">
            <v>4</v>
          </cell>
          <cell r="AB14">
            <v>4</v>
          </cell>
          <cell r="AC14">
            <v>4</v>
          </cell>
          <cell r="AD14">
            <v>4</v>
          </cell>
          <cell r="AE14">
            <v>4</v>
          </cell>
          <cell r="AF14">
            <v>4</v>
          </cell>
          <cell r="AG14">
            <v>4</v>
          </cell>
          <cell r="AH14">
            <v>36</v>
          </cell>
          <cell r="AI14" t="str">
            <v>steak and protein shake</v>
          </cell>
          <cell r="AJ14">
            <v>4</v>
          </cell>
          <cell r="AK14">
            <v>4</v>
          </cell>
          <cell r="AL14">
            <v>4</v>
          </cell>
          <cell r="AM14">
            <v>4</v>
          </cell>
          <cell r="AN14">
            <v>4</v>
          </cell>
          <cell r="AO14">
            <v>4</v>
          </cell>
          <cell r="AP14">
            <v>24</v>
          </cell>
          <cell r="AQ14" t="str">
            <v>training and watching fights</v>
          </cell>
          <cell r="AR14">
            <v>4</v>
          </cell>
          <cell r="AS14">
            <v>4</v>
          </cell>
          <cell r="AT14">
            <v>4</v>
          </cell>
          <cell r="AU14">
            <v>4</v>
          </cell>
          <cell r="AV14">
            <v>4</v>
          </cell>
          <cell r="AW14">
            <v>4</v>
          </cell>
          <cell r="AX14">
            <v>24</v>
          </cell>
          <cell r="AY14" t="str">
            <v>massaging a beautiful woman and</v>
          </cell>
          <cell r="AZ14">
            <v>4</v>
          </cell>
          <cell r="BA14">
            <v>4</v>
          </cell>
          <cell r="BB14">
            <v>4</v>
          </cell>
          <cell r="BC14">
            <v>4</v>
          </cell>
          <cell r="BD14">
            <v>4</v>
          </cell>
          <cell r="BE14">
            <v>20</v>
          </cell>
          <cell r="BF14">
            <v>104</v>
          </cell>
        </row>
        <row r="15">
          <cell r="A15">
            <v>848</v>
          </cell>
          <cell r="B15">
            <v>1</v>
          </cell>
          <cell r="C15">
            <v>4</v>
          </cell>
          <cell r="D15">
            <v>3</v>
          </cell>
          <cell r="E15">
            <v>2</v>
          </cell>
          <cell r="F15">
            <v>1</v>
          </cell>
          <cell r="G15">
            <v>2</v>
          </cell>
          <cell r="H15">
            <v>4</v>
          </cell>
          <cell r="I15">
            <v>1</v>
          </cell>
          <cell r="J15">
            <v>4</v>
          </cell>
          <cell r="K15">
            <v>1</v>
          </cell>
          <cell r="L15">
            <v>2</v>
          </cell>
          <cell r="M15">
            <v>1</v>
          </cell>
          <cell r="N15">
            <v>2</v>
          </cell>
          <cell r="O15">
            <v>5</v>
          </cell>
          <cell r="P15">
            <v>4</v>
          </cell>
          <cell r="Q15">
            <v>4</v>
          </cell>
          <cell r="R15">
            <v>5</v>
          </cell>
          <cell r="S15">
            <v>4</v>
          </cell>
          <cell r="T15">
            <v>3</v>
          </cell>
          <cell r="U15">
            <v>26</v>
          </cell>
          <cell r="V15">
            <v>25</v>
          </cell>
          <cell r="W15">
            <v>51</v>
          </cell>
          <cell r="X15" t="str">
            <v>Cooking, watching podcasts, sing</v>
          </cell>
          <cell r="Y15">
            <v>1</v>
          </cell>
          <cell r="Z15">
            <v>1</v>
          </cell>
          <cell r="AA15">
            <v>2</v>
          </cell>
          <cell r="AB15">
            <v>2</v>
          </cell>
          <cell r="AC15">
            <v>1</v>
          </cell>
          <cell r="AD15">
            <v>2</v>
          </cell>
          <cell r="AE15">
            <v>2</v>
          </cell>
          <cell r="AF15">
            <v>2</v>
          </cell>
          <cell r="AG15">
            <v>1</v>
          </cell>
          <cell r="AH15">
            <v>14</v>
          </cell>
          <cell r="AI15" t="str">
            <v>Chai tea, pizza</v>
          </cell>
          <cell r="AJ15">
            <v>1</v>
          </cell>
          <cell r="AK15">
            <v>1</v>
          </cell>
          <cell r="AL15">
            <v>1</v>
          </cell>
          <cell r="AM15">
            <v>0</v>
          </cell>
          <cell r="AN15">
            <v>1</v>
          </cell>
          <cell r="AO15">
            <v>0</v>
          </cell>
          <cell r="AP15">
            <v>4</v>
          </cell>
          <cell r="AQ15" t="str">
            <v>Zoom calls with friends, socials</v>
          </cell>
          <cell r="AR15">
            <v>0</v>
          </cell>
          <cell r="AS15">
            <v>0</v>
          </cell>
          <cell r="AT15">
            <v>0</v>
          </cell>
          <cell r="AU15">
            <v>1</v>
          </cell>
          <cell r="AV15">
            <v>0</v>
          </cell>
          <cell r="AW15">
            <v>0</v>
          </cell>
          <cell r="AX15">
            <v>1</v>
          </cell>
          <cell r="AY15" t="str">
            <v>Listening to music, walking duri</v>
          </cell>
          <cell r="AZ15">
            <v>1</v>
          </cell>
          <cell r="BA15">
            <v>0</v>
          </cell>
          <cell r="BB15">
            <v>0</v>
          </cell>
          <cell r="BC15">
            <v>1</v>
          </cell>
          <cell r="BD15">
            <v>1</v>
          </cell>
          <cell r="BE15">
            <v>3</v>
          </cell>
          <cell r="BF15">
            <v>22</v>
          </cell>
        </row>
        <row r="16">
          <cell r="A16">
            <v>849</v>
          </cell>
          <cell r="B16">
            <v>4</v>
          </cell>
          <cell r="C16">
            <v>6</v>
          </cell>
          <cell r="D16">
            <v>4</v>
          </cell>
          <cell r="E16">
            <v>4</v>
          </cell>
          <cell r="F16">
            <v>5</v>
          </cell>
          <cell r="G16">
            <v>3</v>
          </cell>
          <cell r="H16">
            <v>6</v>
          </cell>
          <cell r="I16">
            <v>4</v>
          </cell>
          <cell r="J16">
            <v>6</v>
          </cell>
          <cell r="K16">
            <v>2</v>
          </cell>
          <cell r="L16">
            <v>5</v>
          </cell>
          <cell r="M16">
            <v>4</v>
          </cell>
          <cell r="N16">
            <v>1</v>
          </cell>
          <cell r="O16">
            <v>6</v>
          </cell>
          <cell r="P16">
            <v>4</v>
          </cell>
          <cell r="Q16">
            <v>4</v>
          </cell>
          <cell r="R16">
            <v>4</v>
          </cell>
          <cell r="S16">
            <v>6</v>
          </cell>
          <cell r="T16">
            <v>4</v>
          </cell>
          <cell r="U16">
            <v>40</v>
          </cell>
          <cell r="V16">
            <v>41</v>
          </cell>
          <cell r="W16">
            <v>81</v>
          </cell>
          <cell r="X16" t="str">
            <v>cooking, crafting</v>
          </cell>
          <cell r="Y16">
            <v>3</v>
          </cell>
          <cell r="Z16">
            <v>3</v>
          </cell>
          <cell r="AA16">
            <v>3</v>
          </cell>
          <cell r="AB16">
            <v>3</v>
          </cell>
          <cell r="AC16">
            <v>3</v>
          </cell>
          <cell r="AD16">
            <v>3</v>
          </cell>
          <cell r="AE16">
            <v>3</v>
          </cell>
          <cell r="AF16">
            <v>2</v>
          </cell>
          <cell r="AG16">
            <v>2</v>
          </cell>
          <cell r="AH16">
            <v>25</v>
          </cell>
          <cell r="AI16" t="str">
            <v>sweet potato, pulled pork</v>
          </cell>
          <cell r="AJ16">
            <v>2</v>
          </cell>
          <cell r="AK16">
            <v>3</v>
          </cell>
          <cell r="AL16">
            <v>3</v>
          </cell>
          <cell r="AM16">
            <v>3</v>
          </cell>
          <cell r="AN16">
            <v>3</v>
          </cell>
          <cell r="AO16">
            <v>3</v>
          </cell>
          <cell r="AP16">
            <v>17</v>
          </cell>
          <cell r="AQ16" t="str">
            <v>dancing, trivia nights</v>
          </cell>
          <cell r="AR16">
            <v>3</v>
          </cell>
          <cell r="AS16">
            <v>3</v>
          </cell>
          <cell r="AT16">
            <v>2</v>
          </cell>
          <cell r="AU16">
            <v>3</v>
          </cell>
          <cell r="AV16">
            <v>3</v>
          </cell>
          <cell r="AW16">
            <v>4</v>
          </cell>
          <cell r="AX16">
            <v>18</v>
          </cell>
          <cell r="AY16" t="str">
            <v>watching the stars/sky, smelling</v>
          </cell>
          <cell r="AZ16">
            <v>3</v>
          </cell>
          <cell r="BA16">
            <v>3</v>
          </cell>
          <cell r="BB16">
            <v>3</v>
          </cell>
          <cell r="BC16">
            <v>3</v>
          </cell>
          <cell r="BD16">
            <v>3</v>
          </cell>
          <cell r="BE16">
            <v>15</v>
          </cell>
          <cell r="BF16">
            <v>75</v>
          </cell>
        </row>
        <row r="17">
          <cell r="A17">
            <v>855</v>
          </cell>
          <cell r="B17">
            <v>4</v>
          </cell>
          <cell r="C17">
            <v>6</v>
          </cell>
          <cell r="D17">
            <v>6</v>
          </cell>
          <cell r="E17">
            <v>6</v>
          </cell>
          <cell r="F17">
            <v>4</v>
          </cell>
          <cell r="G17">
            <v>5</v>
          </cell>
          <cell r="H17">
            <v>6</v>
          </cell>
          <cell r="I17">
            <v>5</v>
          </cell>
          <cell r="J17">
            <v>4</v>
          </cell>
          <cell r="K17">
            <v>4</v>
          </cell>
          <cell r="L17">
            <v>1</v>
          </cell>
          <cell r="M17">
            <v>4</v>
          </cell>
          <cell r="N17">
            <v>5</v>
          </cell>
          <cell r="O17">
            <v>2</v>
          </cell>
          <cell r="P17">
            <v>6</v>
          </cell>
          <cell r="Q17">
            <v>3</v>
          </cell>
          <cell r="R17">
            <v>3</v>
          </cell>
          <cell r="S17">
            <v>6</v>
          </cell>
          <cell r="T17">
            <v>6</v>
          </cell>
          <cell r="U17">
            <v>39</v>
          </cell>
          <cell r="V17">
            <v>42</v>
          </cell>
          <cell r="W17">
            <v>81</v>
          </cell>
          <cell r="X17" t="str">
            <v>Yoga  Movies</v>
          </cell>
          <cell r="Y17">
            <v>4</v>
          </cell>
          <cell r="Z17">
            <v>4</v>
          </cell>
          <cell r="AA17">
            <v>4</v>
          </cell>
          <cell r="AB17">
            <v>4</v>
          </cell>
          <cell r="AC17">
            <v>4</v>
          </cell>
          <cell r="AD17">
            <v>4</v>
          </cell>
          <cell r="AE17">
            <v>3</v>
          </cell>
          <cell r="AF17">
            <v>3</v>
          </cell>
          <cell r="AG17">
            <v>4</v>
          </cell>
          <cell r="AH17">
            <v>34</v>
          </cell>
          <cell r="AI17" t="str">
            <v>Italian pizza  Iced tea  Fish</v>
          </cell>
          <cell r="AJ17">
            <v>4</v>
          </cell>
          <cell r="AK17">
            <v>4</v>
          </cell>
          <cell r="AL17">
            <v>4</v>
          </cell>
          <cell r="AM17">
            <v>4</v>
          </cell>
          <cell r="AN17">
            <v>4</v>
          </cell>
          <cell r="AO17">
            <v>4</v>
          </cell>
          <cell r="AP17">
            <v>24</v>
          </cell>
          <cell r="AQ17" t="str">
            <v>Appetizer with friends  Clubbing</v>
          </cell>
          <cell r="AR17">
            <v>4</v>
          </cell>
          <cell r="AS17">
            <v>4</v>
          </cell>
          <cell r="AT17">
            <v>4</v>
          </cell>
          <cell r="AU17">
            <v>4</v>
          </cell>
          <cell r="AV17">
            <v>4</v>
          </cell>
          <cell r="AW17">
            <v>4</v>
          </cell>
          <cell r="AX17">
            <v>24</v>
          </cell>
          <cell r="AY17" t="str">
            <v>Listening to music  Hot bath wit</v>
          </cell>
          <cell r="AZ17">
            <v>4</v>
          </cell>
          <cell r="BA17">
            <v>3</v>
          </cell>
          <cell r="BB17">
            <v>3</v>
          </cell>
          <cell r="BC17">
            <v>3</v>
          </cell>
          <cell r="BD17">
            <v>4</v>
          </cell>
          <cell r="BE17">
            <v>17</v>
          </cell>
          <cell r="BF17">
            <v>99</v>
          </cell>
        </row>
        <row r="18">
          <cell r="A18">
            <v>857</v>
          </cell>
          <cell r="B18">
            <v>2</v>
          </cell>
          <cell r="C18">
            <v>6</v>
          </cell>
          <cell r="D18">
            <v>6</v>
          </cell>
          <cell r="E18">
            <v>2</v>
          </cell>
          <cell r="F18">
            <v>5</v>
          </cell>
          <cell r="G18">
            <v>4</v>
          </cell>
          <cell r="H18">
            <v>6</v>
          </cell>
          <cell r="I18">
            <v>3</v>
          </cell>
          <cell r="J18">
            <v>6</v>
          </cell>
          <cell r="K18">
            <v>4</v>
          </cell>
          <cell r="L18">
            <v>5</v>
          </cell>
          <cell r="M18">
            <v>2</v>
          </cell>
          <cell r="N18">
            <v>4</v>
          </cell>
          <cell r="O18">
            <v>3</v>
          </cell>
          <cell r="P18">
            <v>6</v>
          </cell>
          <cell r="Q18">
            <v>2</v>
          </cell>
          <cell r="R18">
            <v>2</v>
          </cell>
          <cell r="S18">
            <v>6</v>
          </cell>
          <cell r="T18">
            <v>5</v>
          </cell>
          <cell r="U18">
            <v>32</v>
          </cell>
          <cell r="V18">
            <v>43</v>
          </cell>
          <cell r="W18">
            <v>75</v>
          </cell>
          <cell r="X18" t="str">
            <v>cooking  gardening</v>
          </cell>
          <cell r="Y18">
            <v>1</v>
          </cell>
          <cell r="Z18">
            <v>1</v>
          </cell>
          <cell r="AA18">
            <v>1</v>
          </cell>
          <cell r="AB18">
            <v>1</v>
          </cell>
          <cell r="AC18">
            <v>1</v>
          </cell>
          <cell r="AD18">
            <v>2</v>
          </cell>
          <cell r="AE18">
            <v>1</v>
          </cell>
          <cell r="AF18">
            <v>1</v>
          </cell>
          <cell r="AG18">
            <v>0</v>
          </cell>
          <cell r="AH18" t="str">
            <v xml:space="preserve"> </v>
          </cell>
          <cell r="AI18" t="str">
            <v>coffee  trail mix</v>
          </cell>
          <cell r="AJ18">
            <v>2</v>
          </cell>
          <cell r="AK18">
            <v>2</v>
          </cell>
          <cell r="AL18">
            <v>2</v>
          </cell>
          <cell r="AM18">
            <v>0</v>
          </cell>
          <cell r="AN18">
            <v>1</v>
          </cell>
          <cell r="AO18">
            <v>1</v>
          </cell>
          <cell r="AP18" t="str">
            <v xml:space="preserve"> </v>
          </cell>
          <cell r="AQ18" t="str">
            <v>hiking  skiing</v>
          </cell>
          <cell r="AR18">
            <v>3</v>
          </cell>
          <cell r="AS18">
            <v>3</v>
          </cell>
          <cell r="AT18">
            <v>3</v>
          </cell>
          <cell r="AU18">
            <v>4</v>
          </cell>
          <cell r="AV18">
            <v>4</v>
          </cell>
          <cell r="AW18">
            <v>2</v>
          </cell>
          <cell r="AX18" t="str">
            <v xml:space="preserve"> </v>
          </cell>
          <cell r="AY18" t="str">
            <v>swimming in the ocean  cross cou</v>
          </cell>
          <cell r="AZ18">
            <v>4</v>
          </cell>
          <cell r="BA18">
            <v>4</v>
          </cell>
          <cell r="BB18">
            <v>4</v>
          </cell>
          <cell r="BC18">
            <v>4</v>
          </cell>
          <cell r="BD18">
            <v>4</v>
          </cell>
          <cell r="BE18">
            <v>20</v>
          </cell>
          <cell r="BF18">
            <v>20</v>
          </cell>
        </row>
        <row r="19">
          <cell r="A19">
            <v>858</v>
          </cell>
          <cell r="B19">
            <v>2</v>
          </cell>
          <cell r="C19">
            <v>2</v>
          </cell>
          <cell r="D19">
            <v>4</v>
          </cell>
          <cell r="E19">
            <v>2</v>
          </cell>
          <cell r="F19">
            <v>5</v>
          </cell>
          <cell r="G19">
            <v>2</v>
          </cell>
          <cell r="H19">
            <v>4</v>
          </cell>
          <cell r="I19">
            <v>4</v>
          </cell>
          <cell r="J19">
            <v>5</v>
          </cell>
          <cell r="K19">
            <v>1</v>
          </cell>
          <cell r="L19">
            <v>4</v>
          </cell>
          <cell r="M19">
            <v>4</v>
          </cell>
          <cell r="N19">
            <v>3</v>
          </cell>
          <cell r="O19">
            <v>4</v>
          </cell>
          <cell r="P19">
            <v>5</v>
          </cell>
          <cell r="Q19">
            <v>5</v>
          </cell>
          <cell r="R19">
            <v>5</v>
          </cell>
          <cell r="S19">
            <v>4</v>
          </cell>
          <cell r="T19">
            <v>4</v>
          </cell>
          <cell r="U19">
            <v>33</v>
          </cell>
          <cell r="V19">
            <v>33</v>
          </cell>
          <cell r="W19">
            <v>66</v>
          </cell>
          <cell r="X19" t="str">
            <v>video games, music/art, reading</v>
          </cell>
          <cell r="Y19">
            <v>1</v>
          </cell>
          <cell r="Z19">
            <v>0</v>
          </cell>
          <cell r="AA19">
            <v>0</v>
          </cell>
          <cell r="AB19">
            <v>0</v>
          </cell>
          <cell r="AC19">
            <v>0</v>
          </cell>
          <cell r="AD19">
            <v>0</v>
          </cell>
          <cell r="AE19">
            <v>0</v>
          </cell>
          <cell r="AF19">
            <v>0</v>
          </cell>
          <cell r="AG19">
            <v>0</v>
          </cell>
          <cell r="AH19">
            <v>1</v>
          </cell>
          <cell r="AI19" t="str">
            <v>nachos, enchiladas</v>
          </cell>
          <cell r="AJ19">
            <v>2</v>
          </cell>
          <cell r="AK19">
            <v>3</v>
          </cell>
          <cell r="AL19">
            <v>2</v>
          </cell>
          <cell r="AM19">
            <v>0</v>
          </cell>
          <cell r="AN19">
            <v>4</v>
          </cell>
          <cell r="AO19">
            <v>1</v>
          </cell>
          <cell r="AP19">
            <v>12</v>
          </cell>
          <cell r="AQ19" t="str">
            <v>meeting with friends, game night</v>
          </cell>
          <cell r="AR19">
            <v>3</v>
          </cell>
          <cell r="AS19">
            <v>1</v>
          </cell>
          <cell r="AT19">
            <v>0</v>
          </cell>
          <cell r="AU19">
            <v>3</v>
          </cell>
          <cell r="AV19">
            <v>4</v>
          </cell>
          <cell r="AW19">
            <v>0</v>
          </cell>
          <cell r="AX19">
            <v>11</v>
          </cell>
          <cell r="AY19" t="str">
            <v>listening to music, hot showers</v>
          </cell>
          <cell r="AZ19">
            <v>1</v>
          </cell>
          <cell r="BA19">
            <v>0</v>
          </cell>
          <cell r="BB19">
            <v>0</v>
          </cell>
          <cell r="BC19">
            <v>0</v>
          </cell>
          <cell r="BD19">
            <v>0</v>
          </cell>
          <cell r="BE19">
            <v>1</v>
          </cell>
          <cell r="BF19">
            <v>25</v>
          </cell>
        </row>
        <row r="20">
          <cell r="A20">
            <v>859</v>
          </cell>
          <cell r="B20">
            <v>1</v>
          </cell>
          <cell r="C20">
            <v>6</v>
          </cell>
          <cell r="D20">
            <v>5</v>
          </cell>
          <cell r="E20">
            <v>5</v>
          </cell>
          <cell r="F20">
            <v>1</v>
          </cell>
          <cell r="G20">
            <v>6</v>
          </cell>
          <cell r="H20">
            <v>4</v>
          </cell>
          <cell r="I20">
            <v>4</v>
          </cell>
          <cell r="J20">
            <v>5</v>
          </cell>
          <cell r="K20">
            <v>2</v>
          </cell>
          <cell r="L20">
            <v>5</v>
          </cell>
          <cell r="M20">
            <v>1</v>
          </cell>
          <cell r="N20">
            <v>6</v>
          </cell>
          <cell r="O20">
            <v>1</v>
          </cell>
          <cell r="P20">
            <v>6</v>
          </cell>
          <cell r="Q20">
            <v>5</v>
          </cell>
          <cell r="R20">
            <v>4</v>
          </cell>
          <cell r="S20">
            <v>6</v>
          </cell>
          <cell r="T20">
            <v>5</v>
          </cell>
          <cell r="U20">
            <v>38</v>
          </cell>
          <cell r="V20">
            <v>34</v>
          </cell>
          <cell r="W20">
            <v>72</v>
          </cell>
          <cell r="X20" t="str">
            <v>Bicycle riding, hiking, travelin</v>
          </cell>
          <cell r="Y20">
            <v>4</v>
          </cell>
          <cell r="Z20">
            <v>4</v>
          </cell>
          <cell r="AA20">
            <v>4</v>
          </cell>
          <cell r="AB20">
            <v>4</v>
          </cell>
          <cell r="AC20">
            <v>4</v>
          </cell>
          <cell r="AD20">
            <v>4</v>
          </cell>
          <cell r="AE20">
            <v>4</v>
          </cell>
          <cell r="AF20">
            <v>4</v>
          </cell>
          <cell r="AG20">
            <v>4</v>
          </cell>
          <cell r="AH20">
            <v>36</v>
          </cell>
          <cell r="AI20" t="str">
            <v>Pizza, popcorn, pretzels, fruit</v>
          </cell>
          <cell r="AJ20">
            <v>4</v>
          </cell>
          <cell r="AK20">
            <v>4</v>
          </cell>
          <cell r="AL20">
            <v>4</v>
          </cell>
          <cell r="AM20">
            <v>3</v>
          </cell>
          <cell r="AN20">
            <v>4</v>
          </cell>
          <cell r="AO20">
            <v>4</v>
          </cell>
          <cell r="AP20">
            <v>23</v>
          </cell>
          <cell r="AQ20" t="str">
            <v>Attending church, going out to e</v>
          </cell>
          <cell r="AR20">
            <v>4</v>
          </cell>
          <cell r="AS20">
            <v>3</v>
          </cell>
          <cell r="AT20">
            <v>2</v>
          </cell>
          <cell r="AU20">
            <v>4</v>
          </cell>
          <cell r="AV20">
            <v>4</v>
          </cell>
          <cell r="AW20">
            <v>3</v>
          </cell>
          <cell r="AX20">
            <v>20</v>
          </cell>
          <cell r="AY20" t="str">
            <v>Sitting on top of a mountain loo</v>
          </cell>
          <cell r="AZ20">
            <v>4</v>
          </cell>
          <cell r="BA20">
            <v>4</v>
          </cell>
          <cell r="BB20">
            <v>4</v>
          </cell>
          <cell r="BC20">
            <v>4</v>
          </cell>
          <cell r="BD20">
            <v>4</v>
          </cell>
          <cell r="BE20">
            <v>20</v>
          </cell>
          <cell r="BF20">
            <v>99</v>
          </cell>
        </row>
        <row r="21">
          <cell r="A21">
            <v>860</v>
          </cell>
          <cell r="B21">
            <v>1</v>
          </cell>
          <cell r="C21">
            <v>5</v>
          </cell>
          <cell r="D21">
            <v>5</v>
          </cell>
          <cell r="E21">
            <v>1</v>
          </cell>
          <cell r="F21">
            <v>3</v>
          </cell>
          <cell r="G21">
            <v>4</v>
          </cell>
          <cell r="H21">
            <v>6</v>
          </cell>
          <cell r="I21">
            <v>5</v>
          </cell>
          <cell r="J21">
            <v>6</v>
          </cell>
          <cell r="K21">
            <v>1</v>
          </cell>
          <cell r="L21">
            <v>1</v>
          </cell>
          <cell r="M21">
            <v>4</v>
          </cell>
          <cell r="N21">
            <v>2</v>
          </cell>
          <cell r="O21">
            <v>5</v>
          </cell>
          <cell r="P21">
            <v>6</v>
          </cell>
          <cell r="Q21">
            <v>4</v>
          </cell>
          <cell r="R21">
            <v>2</v>
          </cell>
          <cell r="S21">
            <v>5</v>
          </cell>
          <cell r="T21">
            <v>3</v>
          </cell>
          <cell r="U21">
            <v>27</v>
          </cell>
          <cell r="V21">
            <v>40</v>
          </cell>
          <cell r="W21">
            <v>67</v>
          </cell>
          <cell r="X21" t="str">
            <v>Spending time in my studio/works</v>
          </cell>
          <cell r="Y21">
            <v>1</v>
          </cell>
          <cell r="Z21">
            <v>0</v>
          </cell>
          <cell r="AA21">
            <v>0</v>
          </cell>
          <cell r="AB21">
            <v>0</v>
          </cell>
          <cell r="AC21">
            <v>1</v>
          </cell>
          <cell r="AD21">
            <v>1</v>
          </cell>
          <cell r="AE21">
            <v>0</v>
          </cell>
          <cell r="AF21">
            <v>0</v>
          </cell>
          <cell r="AG21">
            <v>0</v>
          </cell>
          <cell r="AH21">
            <v>3</v>
          </cell>
          <cell r="AI21" t="str">
            <v>Desserts/sweets  Fruit and Chees</v>
          </cell>
          <cell r="AJ21">
            <v>1</v>
          </cell>
          <cell r="AK21">
            <v>4</v>
          </cell>
          <cell r="AL21">
            <v>4</v>
          </cell>
          <cell r="AM21">
            <v>3</v>
          </cell>
          <cell r="AN21">
            <v>1</v>
          </cell>
          <cell r="AO21">
            <v>1</v>
          </cell>
          <cell r="AP21">
            <v>14</v>
          </cell>
          <cell r="AQ21" t="str">
            <v>Spending time with my sister</v>
          </cell>
          <cell r="AR21">
            <v>3</v>
          </cell>
          <cell r="AS21">
            <v>0</v>
          </cell>
          <cell r="AT21">
            <v>0</v>
          </cell>
          <cell r="AU21">
            <v>3</v>
          </cell>
          <cell r="AV21">
            <v>3</v>
          </cell>
          <cell r="AW21">
            <v>1</v>
          </cell>
          <cell r="AX21">
            <v>10</v>
          </cell>
          <cell r="AY21" t="str">
            <v>Hot bath  Snuggling with the dog</v>
          </cell>
          <cell r="AZ21">
            <v>4</v>
          </cell>
          <cell r="BA21">
            <v>1</v>
          </cell>
          <cell r="BB21">
            <v>3</v>
          </cell>
          <cell r="BC21">
            <v>4</v>
          </cell>
          <cell r="BD21">
            <v>2</v>
          </cell>
          <cell r="BE21">
            <v>14</v>
          </cell>
          <cell r="BF21">
            <v>41</v>
          </cell>
        </row>
        <row r="22">
          <cell r="A22">
            <v>864</v>
          </cell>
          <cell r="B22">
            <v>5</v>
          </cell>
          <cell r="C22">
            <v>5</v>
          </cell>
          <cell r="D22">
            <v>5</v>
          </cell>
          <cell r="E22">
            <v>6</v>
          </cell>
          <cell r="F22">
            <v>4</v>
          </cell>
          <cell r="G22">
            <v>5</v>
          </cell>
          <cell r="H22">
            <v>4</v>
          </cell>
          <cell r="I22">
            <v>3</v>
          </cell>
          <cell r="J22">
            <v>4</v>
          </cell>
          <cell r="K22">
            <v>4</v>
          </cell>
          <cell r="L22">
            <v>4</v>
          </cell>
          <cell r="M22">
            <v>3</v>
          </cell>
          <cell r="N22">
            <v>6</v>
          </cell>
          <cell r="O22">
            <v>1</v>
          </cell>
          <cell r="P22">
            <v>6</v>
          </cell>
          <cell r="Q22">
            <v>6</v>
          </cell>
          <cell r="R22">
            <v>6</v>
          </cell>
          <cell r="S22">
            <v>6</v>
          </cell>
          <cell r="T22">
            <v>6</v>
          </cell>
          <cell r="U22">
            <v>46</v>
          </cell>
          <cell r="V22">
            <v>37</v>
          </cell>
          <cell r="W22">
            <v>83</v>
          </cell>
          <cell r="X22" t="str">
            <v>Running  Cooking</v>
          </cell>
          <cell r="Y22">
            <v>4</v>
          </cell>
          <cell r="Z22">
            <v>4</v>
          </cell>
          <cell r="AA22">
            <v>2</v>
          </cell>
          <cell r="AB22">
            <v>4</v>
          </cell>
          <cell r="AC22">
            <v>4</v>
          </cell>
          <cell r="AD22">
            <v>4</v>
          </cell>
          <cell r="AE22">
            <v>4</v>
          </cell>
          <cell r="AF22">
            <v>4</v>
          </cell>
          <cell r="AG22">
            <v>4</v>
          </cell>
          <cell r="AH22">
            <v>34</v>
          </cell>
          <cell r="AI22" t="str">
            <v>Iced tea  Hamburgers</v>
          </cell>
          <cell r="AJ22">
            <v>3</v>
          </cell>
          <cell r="AK22">
            <v>4</v>
          </cell>
          <cell r="AL22">
            <v>4</v>
          </cell>
          <cell r="AM22">
            <v>2</v>
          </cell>
          <cell r="AN22">
            <v>3</v>
          </cell>
          <cell r="AO22">
            <v>3</v>
          </cell>
          <cell r="AP22">
            <v>19</v>
          </cell>
          <cell r="AQ22" t="str">
            <v>soccer  Watching movies with roo</v>
          </cell>
          <cell r="AR22">
            <v>4</v>
          </cell>
          <cell r="AS22">
            <v>4</v>
          </cell>
          <cell r="AT22">
            <v>4</v>
          </cell>
          <cell r="AU22">
            <v>4</v>
          </cell>
          <cell r="AV22">
            <v>4</v>
          </cell>
          <cell r="AW22">
            <v>4</v>
          </cell>
          <cell r="AX22">
            <v>24</v>
          </cell>
          <cell r="AY22" t="str">
            <v>Listening to music  Smell of coo</v>
          </cell>
          <cell r="AZ22">
            <v>4</v>
          </cell>
          <cell r="BA22">
            <v>4</v>
          </cell>
          <cell r="BB22">
            <v>4</v>
          </cell>
          <cell r="BC22">
            <v>4</v>
          </cell>
          <cell r="BD22">
            <v>4</v>
          </cell>
          <cell r="BE22">
            <v>20</v>
          </cell>
          <cell r="BF22">
            <v>97</v>
          </cell>
        </row>
        <row r="23">
          <cell r="A23">
            <v>867</v>
          </cell>
          <cell r="B23">
            <v>4</v>
          </cell>
          <cell r="C23">
            <v>6</v>
          </cell>
          <cell r="D23">
            <v>5</v>
          </cell>
          <cell r="E23">
            <v>6</v>
          </cell>
          <cell r="F23">
            <v>5</v>
          </cell>
          <cell r="G23">
            <v>6</v>
          </cell>
          <cell r="H23">
            <v>5</v>
          </cell>
          <cell r="I23">
            <v>6</v>
          </cell>
          <cell r="J23">
            <v>5</v>
          </cell>
          <cell r="K23">
            <v>4</v>
          </cell>
          <cell r="L23">
            <v>5</v>
          </cell>
          <cell r="M23">
            <v>5</v>
          </cell>
          <cell r="N23">
            <v>6</v>
          </cell>
          <cell r="O23">
            <v>1</v>
          </cell>
          <cell r="P23">
            <v>5</v>
          </cell>
          <cell r="Q23">
            <v>5</v>
          </cell>
          <cell r="R23">
            <v>5</v>
          </cell>
          <cell r="S23">
            <v>6</v>
          </cell>
          <cell r="T23">
            <v>6</v>
          </cell>
          <cell r="U23">
            <v>29</v>
          </cell>
          <cell r="V23">
            <v>35</v>
          </cell>
          <cell r="W23">
            <v>64</v>
          </cell>
          <cell r="X23" t="str">
            <v>Baking  Hiking  Walking the dog</v>
          </cell>
          <cell r="Y23">
            <v>4</v>
          </cell>
          <cell r="Z23">
            <v>4</v>
          </cell>
          <cell r="AA23">
            <v>4</v>
          </cell>
          <cell r="AB23">
            <v>4</v>
          </cell>
          <cell r="AC23">
            <v>4</v>
          </cell>
          <cell r="AD23">
            <v>4</v>
          </cell>
          <cell r="AE23">
            <v>4</v>
          </cell>
          <cell r="AF23">
            <v>4</v>
          </cell>
          <cell r="AG23">
            <v>4</v>
          </cell>
          <cell r="AH23">
            <v>36</v>
          </cell>
          <cell r="AI23" t="str">
            <v>Lemonade  Peanut Butter cups  pi</v>
          </cell>
          <cell r="AJ23">
            <v>4</v>
          </cell>
          <cell r="AK23">
            <v>4</v>
          </cell>
          <cell r="AL23">
            <v>4</v>
          </cell>
          <cell r="AM23">
            <v>4</v>
          </cell>
          <cell r="AN23">
            <v>4</v>
          </cell>
          <cell r="AO23">
            <v>4</v>
          </cell>
          <cell r="AP23">
            <v>24</v>
          </cell>
          <cell r="AQ23" t="str">
            <v>Date night with my boyfriend  Ga</v>
          </cell>
          <cell r="AR23">
            <v>4</v>
          </cell>
          <cell r="AS23">
            <v>4</v>
          </cell>
          <cell r="AT23">
            <v>3</v>
          </cell>
          <cell r="AU23">
            <v>4</v>
          </cell>
          <cell r="AV23">
            <v>4</v>
          </cell>
          <cell r="AW23">
            <v>4</v>
          </cell>
          <cell r="AX23">
            <v>23</v>
          </cell>
          <cell r="AY23" t="str">
            <v>Listening to country music   sme</v>
          </cell>
          <cell r="AZ23">
            <v>4</v>
          </cell>
          <cell r="BA23">
            <v>4</v>
          </cell>
          <cell r="BB23">
            <v>4</v>
          </cell>
          <cell r="BC23">
            <v>4</v>
          </cell>
          <cell r="BD23">
            <v>4</v>
          </cell>
          <cell r="BE23">
            <v>20</v>
          </cell>
          <cell r="BF23">
            <v>103</v>
          </cell>
        </row>
        <row r="24">
          <cell r="A24">
            <v>868</v>
          </cell>
          <cell r="B24">
            <v>1</v>
          </cell>
          <cell r="C24">
            <v>6</v>
          </cell>
          <cell r="D24">
            <v>6</v>
          </cell>
          <cell r="E24">
            <v>6</v>
          </cell>
          <cell r="F24">
            <v>2</v>
          </cell>
          <cell r="G24">
            <v>1</v>
          </cell>
          <cell r="H24">
            <v>6</v>
          </cell>
          <cell r="I24">
            <v>4</v>
          </cell>
          <cell r="J24">
            <v>6</v>
          </cell>
          <cell r="K24">
            <v>2</v>
          </cell>
          <cell r="L24">
            <v>2</v>
          </cell>
          <cell r="M24">
            <v>1</v>
          </cell>
          <cell r="N24">
            <v>6</v>
          </cell>
          <cell r="O24">
            <v>1</v>
          </cell>
          <cell r="P24">
            <v>4</v>
          </cell>
          <cell r="Q24">
            <v>4</v>
          </cell>
          <cell r="R24">
            <v>2</v>
          </cell>
          <cell r="S24">
            <v>4</v>
          </cell>
          <cell r="T24">
            <v>6</v>
          </cell>
          <cell r="U24">
            <v>48</v>
          </cell>
          <cell r="V24">
            <v>42</v>
          </cell>
          <cell r="W24">
            <v>90</v>
          </cell>
          <cell r="X24" t="str">
            <v>Exercise  Cooking</v>
          </cell>
          <cell r="Y24">
            <v>4</v>
          </cell>
          <cell r="Z24">
            <v>4</v>
          </cell>
          <cell r="AA24">
            <v>4</v>
          </cell>
          <cell r="AB24">
            <v>4</v>
          </cell>
          <cell r="AC24">
            <v>4</v>
          </cell>
          <cell r="AD24">
            <v>4</v>
          </cell>
          <cell r="AE24">
            <v>4</v>
          </cell>
          <cell r="AF24">
            <v>4</v>
          </cell>
          <cell r="AG24">
            <v>4</v>
          </cell>
          <cell r="AH24">
            <v>36</v>
          </cell>
          <cell r="AI24" t="str">
            <v>Ice cream  Pizza</v>
          </cell>
          <cell r="AJ24">
            <v>4</v>
          </cell>
          <cell r="AK24">
            <v>4</v>
          </cell>
          <cell r="AL24">
            <v>4</v>
          </cell>
          <cell r="AM24">
            <v>4</v>
          </cell>
          <cell r="AN24">
            <v>4</v>
          </cell>
          <cell r="AO24">
            <v>4</v>
          </cell>
          <cell r="AP24">
            <v>24</v>
          </cell>
          <cell r="AQ24" t="str">
            <v>Playing games  Going out to dinn</v>
          </cell>
          <cell r="AR24">
            <v>4</v>
          </cell>
          <cell r="AS24">
            <v>4</v>
          </cell>
          <cell r="AT24">
            <v>4</v>
          </cell>
          <cell r="AU24">
            <v>4</v>
          </cell>
          <cell r="AV24">
            <v>4</v>
          </cell>
          <cell r="AW24">
            <v>4</v>
          </cell>
          <cell r="AX24">
            <v>24</v>
          </cell>
          <cell r="AY24" t="str">
            <v>Petting dog  Listening to music</v>
          </cell>
          <cell r="AZ24">
            <v>4</v>
          </cell>
          <cell r="BA24">
            <v>4</v>
          </cell>
          <cell r="BB24">
            <v>4</v>
          </cell>
          <cell r="BC24">
            <v>4</v>
          </cell>
          <cell r="BD24">
            <v>4</v>
          </cell>
          <cell r="BE24">
            <v>20</v>
          </cell>
          <cell r="BF24">
            <v>104</v>
          </cell>
        </row>
        <row r="25">
          <cell r="A25">
            <v>878</v>
          </cell>
          <cell r="B25">
            <v>4</v>
          </cell>
          <cell r="C25">
            <v>5</v>
          </cell>
          <cell r="D25">
            <v>3</v>
          </cell>
          <cell r="E25">
            <v>4</v>
          </cell>
          <cell r="F25">
            <v>1</v>
          </cell>
          <cell r="G25">
            <v>3</v>
          </cell>
          <cell r="H25">
            <v>4</v>
          </cell>
          <cell r="I25">
            <v>2</v>
          </cell>
          <cell r="J25">
            <v>5</v>
          </cell>
          <cell r="K25">
            <v>1</v>
          </cell>
          <cell r="L25">
            <v>3</v>
          </cell>
          <cell r="M25">
            <v>4</v>
          </cell>
          <cell r="N25">
            <v>3</v>
          </cell>
          <cell r="O25">
            <v>4</v>
          </cell>
          <cell r="P25">
            <v>5</v>
          </cell>
          <cell r="Q25">
            <v>3</v>
          </cell>
          <cell r="R25">
            <v>4</v>
          </cell>
          <cell r="S25">
            <v>6</v>
          </cell>
          <cell r="T25">
            <v>4</v>
          </cell>
          <cell r="U25">
            <v>32</v>
          </cell>
          <cell r="V25">
            <v>33</v>
          </cell>
          <cell r="W25">
            <v>65</v>
          </cell>
          <cell r="X25" t="str">
            <v>Reading anything and everything,</v>
          </cell>
          <cell r="Y25">
            <v>4</v>
          </cell>
          <cell r="Z25">
            <v>4</v>
          </cell>
          <cell r="AA25">
            <v>4</v>
          </cell>
          <cell r="AB25">
            <v>4</v>
          </cell>
          <cell r="AC25">
            <v>4</v>
          </cell>
          <cell r="AD25">
            <v>4</v>
          </cell>
          <cell r="AE25">
            <v>4</v>
          </cell>
          <cell r="AF25">
            <v>4</v>
          </cell>
          <cell r="AG25">
            <v>4</v>
          </cell>
          <cell r="AH25">
            <v>36</v>
          </cell>
          <cell r="AI25" t="str">
            <v>soft pretzels from auntie annes,</v>
          </cell>
          <cell r="AJ25">
            <v>4</v>
          </cell>
          <cell r="AK25">
            <v>4</v>
          </cell>
          <cell r="AL25">
            <v>4</v>
          </cell>
          <cell r="AM25">
            <v>4</v>
          </cell>
          <cell r="AN25">
            <v>4</v>
          </cell>
          <cell r="AO25">
            <v>4</v>
          </cell>
          <cell r="AP25">
            <v>24</v>
          </cell>
          <cell r="AQ25" t="str">
            <v>shopping with my kids, lunch wit</v>
          </cell>
          <cell r="AR25">
            <v>3</v>
          </cell>
          <cell r="AS25">
            <v>2</v>
          </cell>
          <cell r="AT25">
            <v>3</v>
          </cell>
          <cell r="AU25">
            <v>3</v>
          </cell>
          <cell r="AV25">
            <v>3</v>
          </cell>
          <cell r="AW25">
            <v>2</v>
          </cell>
          <cell r="AX25">
            <v>16</v>
          </cell>
          <cell r="AY25" t="str">
            <v>listening to the ocean, sitting</v>
          </cell>
          <cell r="AZ25">
            <v>4</v>
          </cell>
          <cell r="BA25">
            <v>4</v>
          </cell>
          <cell r="BB25">
            <v>4</v>
          </cell>
          <cell r="BC25">
            <v>4</v>
          </cell>
          <cell r="BD25">
            <v>4</v>
          </cell>
          <cell r="BE25">
            <v>20</v>
          </cell>
          <cell r="BF25">
            <v>96</v>
          </cell>
        </row>
        <row r="26">
          <cell r="A26">
            <v>879</v>
          </cell>
          <cell r="B26">
            <v>4</v>
          </cell>
          <cell r="C26">
            <v>4</v>
          </cell>
          <cell r="D26">
            <v>4</v>
          </cell>
          <cell r="E26">
            <v>4</v>
          </cell>
          <cell r="F26">
            <v>2</v>
          </cell>
          <cell r="G26">
            <v>5</v>
          </cell>
          <cell r="H26">
            <v>3</v>
          </cell>
          <cell r="I26">
            <v>3</v>
          </cell>
          <cell r="J26">
            <v>6</v>
          </cell>
          <cell r="K26">
            <v>3</v>
          </cell>
          <cell r="L26">
            <v>6</v>
          </cell>
          <cell r="M26">
            <v>3</v>
          </cell>
          <cell r="N26">
            <v>6</v>
          </cell>
          <cell r="O26">
            <v>1</v>
          </cell>
          <cell r="P26">
            <v>6</v>
          </cell>
          <cell r="Q26">
            <v>6</v>
          </cell>
          <cell r="R26">
            <v>6</v>
          </cell>
          <cell r="S26">
            <v>5</v>
          </cell>
          <cell r="T26">
            <v>6</v>
          </cell>
          <cell r="U26">
            <v>44</v>
          </cell>
          <cell r="V26">
            <v>33</v>
          </cell>
          <cell r="W26">
            <v>77</v>
          </cell>
          <cell r="X26" t="str">
            <v>Movies, walking with my dog</v>
          </cell>
          <cell r="Y26">
            <v>1</v>
          </cell>
          <cell r="Z26">
            <v>2</v>
          </cell>
          <cell r="AA26">
            <v>2</v>
          </cell>
          <cell r="AB26">
            <v>1</v>
          </cell>
          <cell r="AC26">
            <v>2</v>
          </cell>
          <cell r="AD26">
            <v>1</v>
          </cell>
          <cell r="AE26">
            <v>2</v>
          </cell>
          <cell r="AF26">
            <v>2</v>
          </cell>
          <cell r="AG26">
            <v>2</v>
          </cell>
          <cell r="AH26">
            <v>15</v>
          </cell>
          <cell r="AI26" t="str">
            <v>Pizza, Sushi</v>
          </cell>
          <cell r="AJ26">
            <v>2</v>
          </cell>
          <cell r="AK26">
            <v>4</v>
          </cell>
          <cell r="AL26">
            <v>4</v>
          </cell>
          <cell r="AM26">
            <v>4</v>
          </cell>
          <cell r="AN26">
            <v>4</v>
          </cell>
          <cell r="AO26">
            <v>2</v>
          </cell>
          <cell r="AP26">
            <v>20</v>
          </cell>
          <cell r="AQ26" t="str">
            <v>Dates with partner, get together</v>
          </cell>
          <cell r="AR26">
            <v>4</v>
          </cell>
          <cell r="AS26">
            <v>2</v>
          </cell>
          <cell r="AT26">
            <v>3</v>
          </cell>
          <cell r="AU26">
            <v>4</v>
          </cell>
          <cell r="AV26">
            <v>4</v>
          </cell>
          <cell r="AW26">
            <v>2</v>
          </cell>
          <cell r="AX26">
            <v>19</v>
          </cell>
          <cell r="AY26" t="str">
            <v>Listening to music, touch</v>
          </cell>
          <cell r="AZ26">
            <v>1</v>
          </cell>
          <cell r="BA26">
            <v>2</v>
          </cell>
          <cell r="BB26">
            <v>2</v>
          </cell>
          <cell r="BC26">
            <v>3</v>
          </cell>
          <cell r="BD26">
            <v>1</v>
          </cell>
          <cell r="BE26">
            <v>9</v>
          </cell>
          <cell r="BF26">
            <v>63</v>
          </cell>
        </row>
        <row r="27">
          <cell r="A27">
            <v>882</v>
          </cell>
          <cell r="B27">
            <v>4</v>
          </cell>
          <cell r="C27">
            <v>6</v>
          </cell>
          <cell r="D27">
            <v>5</v>
          </cell>
          <cell r="E27">
            <v>6</v>
          </cell>
          <cell r="F27">
            <v>2</v>
          </cell>
          <cell r="G27">
            <v>5</v>
          </cell>
          <cell r="H27">
            <v>6</v>
          </cell>
          <cell r="I27">
            <v>3</v>
          </cell>
          <cell r="J27">
            <v>6</v>
          </cell>
          <cell r="K27">
            <v>4</v>
          </cell>
          <cell r="L27">
            <v>4</v>
          </cell>
          <cell r="M27">
            <v>4</v>
          </cell>
          <cell r="N27">
            <v>6</v>
          </cell>
          <cell r="O27">
            <v>1</v>
          </cell>
          <cell r="P27">
            <v>6</v>
          </cell>
          <cell r="Q27">
            <v>5</v>
          </cell>
          <cell r="R27">
            <v>5</v>
          </cell>
          <cell r="S27">
            <v>6</v>
          </cell>
          <cell r="T27">
            <v>6</v>
          </cell>
          <cell r="U27">
            <v>43</v>
          </cell>
          <cell r="V27">
            <v>41</v>
          </cell>
          <cell r="W27">
            <v>84</v>
          </cell>
          <cell r="X27" t="str">
            <v>Hiking, reading, fishing, playin</v>
          </cell>
          <cell r="Y27">
            <v>4</v>
          </cell>
          <cell r="Z27">
            <v>4</v>
          </cell>
          <cell r="AA27">
            <v>4</v>
          </cell>
          <cell r="AB27">
            <v>4</v>
          </cell>
          <cell r="AC27">
            <v>4</v>
          </cell>
          <cell r="AD27">
            <v>4</v>
          </cell>
          <cell r="AE27">
            <v>4</v>
          </cell>
          <cell r="AF27">
            <v>4</v>
          </cell>
          <cell r="AG27">
            <v>4</v>
          </cell>
          <cell r="AH27">
            <v>36</v>
          </cell>
          <cell r="AI27" t="str">
            <v>Coffee, Coca-Cola, kombucha, fri</v>
          </cell>
          <cell r="AJ27">
            <v>3</v>
          </cell>
          <cell r="AK27">
            <v>4</v>
          </cell>
          <cell r="AL27">
            <v>4</v>
          </cell>
          <cell r="AM27">
            <v>1</v>
          </cell>
          <cell r="AN27">
            <v>3</v>
          </cell>
          <cell r="AO27">
            <v>2</v>
          </cell>
          <cell r="AP27">
            <v>17</v>
          </cell>
          <cell r="AQ27" t="str">
            <v>Playing pool, making music with</v>
          </cell>
          <cell r="AR27">
            <v>4</v>
          </cell>
          <cell r="AS27">
            <v>4</v>
          </cell>
          <cell r="AT27">
            <v>4</v>
          </cell>
          <cell r="AU27">
            <v>4</v>
          </cell>
          <cell r="AV27">
            <v>4</v>
          </cell>
          <cell r="AW27">
            <v>3</v>
          </cell>
          <cell r="AX27">
            <v>23</v>
          </cell>
          <cell r="AY27" t="str">
            <v>Seeing an expansive view (as fro</v>
          </cell>
          <cell r="AZ27">
            <v>4</v>
          </cell>
          <cell r="BA27">
            <v>4</v>
          </cell>
          <cell r="BB27">
            <v>4</v>
          </cell>
          <cell r="BC27">
            <v>4</v>
          </cell>
          <cell r="BD27">
            <v>4</v>
          </cell>
          <cell r="BE27">
            <v>20</v>
          </cell>
          <cell r="BF27">
            <v>96</v>
          </cell>
        </row>
        <row r="28">
          <cell r="A28">
            <v>883</v>
          </cell>
          <cell r="B28">
            <v>4</v>
          </cell>
          <cell r="C28">
            <v>6</v>
          </cell>
          <cell r="D28">
            <v>5</v>
          </cell>
          <cell r="E28">
            <v>6</v>
          </cell>
          <cell r="F28">
            <v>6</v>
          </cell>
          <cell r="G28">
            <v>6</v>
          </cell>
          <cell r="H28">
            <v>1</v>
          </cell>
          <cell r="I28">
            <v>3</v>
          </cell>
          <cell r="J28">
            <v>4</v>
          </cell>
          <cell r="K28">
            <v>5</v>
          </cell>
          <cell r="L28">
            <v>5</v>
          </cell>
          <cell r="M28">
            <v>4</v>
          </cell>
          <cell r="N28">
            <v>5</v>
          </cell>
          <cell r="O28">
            <v>2</v>
          </cell>
          <cell r="P28">
            <v>6</v>
          </cell>
          <cell r="Q28">
            <v>5</v>
          </cell>
          <cell r="R28">
            <v>5</v>
          </cell>
          <cell r="S28">
            <v>4</v>
          </cell>
          <cell r="T28">
            <v>6</v>
          </cell>
          <cell r="U28">
            <v>45</v>
          </cell>
          <cell r="V28">
            <v>36</v>
          </cell>
          <cell r="W28">
            <v>81</v>
          </cell>
          <cell r="X28" t="str">
            <v>Taking dog for a walk, gardening</v>
          </cell>
          <cell r="Y28">
            <v>3</v>
          </cell>
          <cell r="Z28">
            <v>3</v>
          </cell>
          <cell r="AA28">
            <v>3</v>
          </cell>
          <cell r="AB28">
            <v>3</v>
          </cell>
          <cell r="AC28">
            <v>3</v>
          </cell>
          <cell r="AD28">
            <v>3</v>
          </cell>
          <cell r="AE28">
            <v>4</v>
          </cell>
          <cell r="AF28">
            <v>3</v>
          </cell>
          <cell r="AG28">
            <v>3</v>
          </cell>
          <cell r="AH28">
            <v>28</v>
          </cell>
          <cell r="AI28" t="str">
            <v>pizza, pasta</v>
          </cell>
          <cell r="AJ28">
            <v>3</v>
          </cell>
          <cell r="AK28">
            <v>4</v>
          </cell>
          <cell r="AL28">
            <v>4</v>
          </cell>
          <cell r="AM28">
            <v>1</v>
          </cell>
          <cell r="AN28">
            <v>2</v>
          </cell>
          <cell r="AO28">
            <v>2</v>
          </cell>
          <cell r="AP28">
            <v>16</v>
          </cell>
          <cell r="AQ28" t="str">
            <v>cook outs, outings (mini-golf, m</v>
          </cell>
          <cell r="AR28">
            <v>4</v>
          </cell>
          <cell r="AS28">
            <v>4</v>
          </cell>
          <cell r="AT28">
            <v>4</v>
          </cell>
          <cell r="AU28">
            <v>4</v>
          </cell>
          <cell r="AV28">
            <v>4</v>
          </cell>
          <cell r="AW28">
            <v>4</v>
          </cell>
          <cell r="AX28">
            <v>24</v>
          </cell>
          <cell r="AY28" t="str">
            <v>being outside in the sun, pettin</v>
          </cell>
          <cell r="AZ28">
            <v>3</v>
          </cell>
          <cell r="BA28">
            <v>3</v>
          </cell>
          <cell r="BB28">
            <v>3</v>
          </cell>
          <cell r="BC28">
            <v>4</v>
          </cell>
          <cell r="BD28">
            <v>3</v>
          </cell>
          <cell r="BE28">
            <v>16</v>
          </cell>
          <cell r="BF28">
            <v>84</v>
          </cell>
        </row>
        <row r="29">
          <cell r="A29">
            <v>884</v>
          </cell>
          <cell r="B29">
            <v>2</v>
          </cell>
          <cell r="C29">
            <v>6</v>
          </cell>
          <cell r="D29">
            <v>6</v>
          </cell>
          <cell r="E29">
            <v>4</v>
          </cell>
          <cell r="F29">
            <v>1</v>
          </cell>
          <cell r="G29">
            <v>3</v>
          </cell>
          <cell r="H29">
            <v>1</v>
          </cell>
          <cell r="I29">
            <v>4</v>
          </cell>
          <cell r="J29">
            <v>6</v>
          </cell>
          <cell r="K29">
            <v>5</v>
          </cell>
          <cell r="L29">
            <v>6</v>
          </cell>
          <cell r="M29">
            <v>4</v>
          </cell>
          <cell r="N29">
            <v>2</v>
          </cell>
          <cell r="O29">
            <v>5</v>
          </cell>
          <cell r="P29">
            <v>6</v>
          </cell>
          <cell r="Q29">
            <v>5</v>
          </cell>
          <cell r="R29">
            <v>5</v>
          </cell>
          <cell r="S29">
            <v>6</v>
          </cell>
          <cell r="T29">
            <v>6</v>
          </cell>
          <cell r="U29">
            <v>47</v>
          </cell>
          <cell r="V29">
            <v>36</v>
          </cell>
          <cell r="W29">
            <v>83</v>
          </cell>
          <cell r="X29" t="str">
            <v>Hiking and reading</v>
          </cell>
          <cell r="Y29">
            <v>4</v>
          </cell>
          <cell r="Z29">
            <v>4</v>
          </cell>
          <cell r="AA29">
            <v>4</v>
          </cell>
          <cell r="AB29">
            <v>4</v>
          </cell>
          <cell r="AC29">
            <v>4</v>
          </cell>
          <cell r="AD29">
            <v>4</v>
          </cell>
          <cell r="AE29">
            <v>4</v>
          </cell>
          <cell r="AF29">
            <v>4</v>
          </cell>
          <cell r="AG29">
            <v>4</v>
          </cell>
          <cell r="AH29">
            <v>36</v>
          </cell>
          <cell r="AI29" t="str">
            <v>Tacos and sushi</v>
          </cell>
          <cell r="AJ29">
            <v>3</v>
          </cell>
          <cell r="AK29">
            <v>3</v>
          </cell>
          <cell r="AL29">
            <v>3</v>
          </cell>
          <cell r="AM29">
            <v>3</v>
          </cell>
          <cell r="AN29">
            <v>2</v>
          </cell>
          <cell r="AO29">
            <v>2</v>
          </cell>
          <cell r="AP29">
            <v>16</v>
          </cell>
          <cell r="AQ29" t="str">
            <v>Seeing my friends at the firehou</v>
          </cell>
          <cell r="AR29">
            <v>4</v>
          </cell>
          <cell r="AS29">
            <v>2</v>
          </cell>
          <cell r="AT29">
            <v>1</v>
          </cell>
          <cell r="AU29">
            <v>4</v>
          </cell>
          <cell r="AV29">
            <v>3</v>
          </cell>
          <cell r="AW29">
            <v>3</v>
          </cell>
          <cell r="AX29">
            <v>17</v>
          </cell>
          <cell r="AY29" t="str">
            <v>Petting my cats and listening to</v>
          </cell>
          <cell r="AZ29">
            <v>4</v>
          </cell>
          <cell r="BA29">
            <v>4</v>
          </cell>
          <cell r="BB29">
            <v>3</v>
          </cell>
          <cell r="BC29">
            <v>4</v>
          </cell>
          <cell r="BD29">
            <v>4</v>
          </cell>
          <cell r="BE29">
            <v>19</v>
          </cell>
          <cell r="BF29">
            <v>88</v>
          </cell>
        </row>
        <row r="30">
          <cell r="A30">
            <v>890</v>
          </cell>
          <cell r="B30">
            <v>6</v>
          </cell>
          <cell r="C30">
            <v>5</v>
          </cell>
          <cell r="D30">
            <v>3</v>
          </cell>
          <cell r="E30">
            <v>6</v>
          </cell>
          <cell r="F30">
            <v>1</v>
          </cell>
          <cell r="G30">
            <v>4</v>
          </cell>
          <cell r="H30">
            <v>6</v>
          </cell>
          <cell r="I30">
            <v>5</v>
          </cell>
          <cell r="J30">
            <v>5</v>
          </cell>
          <cell r="K30">
            <v>2</v>
          </cell>
          <cell r="L30">
            <v>4</v>
          </cell>
          <cell r="M30">
            <v>2</v>
          </cell>
          <cell r="N30">
            <v>6</v>
          </cell>
          <cell r="O30">
            <v>1</v>
          </cell>
          <cell r="P30">
            <v>6</v>
          </cell>
          <cell r="Q30">
            <v>4</v>
          </cell>
          <cell r="R30">
            <v>5</v>
          </cell>
          <cell r="S30">
            <v>6</v>
          </cell>
          <cell r="T30">
            <v>6</v>
          </cell>
          <cell r="U30">
            <v>43</v>
          </cell>
          <cell r="V30">
            <v>34</v>
          </cell>
          <cell r="W30">
            <v>77</v>
          </cell>
          <cell r="X30" t="str">
            <v>movies, reading</v>
          </cell>
          <cell r="Y30">
            <v>4</v>
          </cell>
          <cell r="Z30">
            <v>4</v>
          </cell>
          <cell r="AA30">
            <v>4</v>
          </cell>
          <cell r="AB30">
            <v>4</v>
          </cell>
          <cell r="AC30">
            <v>4</v>
          </cell>
          <cell r="AD30">
            <v>4</v>
          </cell>
          <cell r="AE30">
            <v>4</v>
          </cell>
          <cell r="AF30">
            <v>4</v>
          </cell>
          <cell r="AG30">
            <v>4</v>
          </cell>
          <cell r="AH30">
            <v>36</v>
          </cell>
          <cell r="AI30" t="str">
            <v>steak, lobster</v>
          </cell>
          <cell r="AJ30">
            <v>4</v>
          </cell>
          <cell r="AK30">
            <v>4</v>
          </cell>
          <cell r="AL30">
            <v>4</v>
          </cell>
          <cell r="AM30">
            <v>4</v>
          </cell>
          <cell r="AN30">
            <v>4</v>
          </cell>
          <cell r="AO30">
            <v>4</v>
          </cell>
          <cell r="AP30">
            <v>24</v>
          </cell>
          <cell r="AQ30" t="str">
            <v>dinner with family, party with f</v>
          </cell>
          <cell r="AR30">
            <v>4</v>
          </cell>
          <cell r="AS30">
            <v>4</v>
          </cell>
          <cell r="AT30">
            <v>3</v>
          </cell>
          <cell r="AU30">
            <v>4</v>
          </cell>
          <cell r="AV30">
            <v>4</v>
          </cell>
          <cell r="AW30">
            <v>4</v>
          </cell>
          <cell r="AX30">
            <v>23</v>
          </cell>
          <cell r="AY30" t="str">
            <v>smelling freshly baked cookies,</v>
          </cell>
          <cell r="AZ30">
            <v>4</v>
          </cell>
          <cell r="BA30">
            <v>4</v>
          </cell>
          <cell r="BB30">
            <v>4</v>
          </cell>
          <cell r="BC30">
            <v>4</v>
          </cell>
          <cell r="BD30">
            <v>4</v>
          </cell>
          <cell r="BE30">
            <v>20</v>
          </cell>
          <cell r="BF30">
            <v>103</v>
          </cell>
        </row>
        <row r="31">
          <cell r="A31">
            <v>893</v>
          </cell>
          <cell r="B31">
            <v>4</v>
          </cell>
          <cell r="C31">
            <v>4</v>
          </cell>
          <cell r="D31">
            <v>3</v>
          </cell>
          <cell r="E31">
            <v>3</v>
          </cell>
          <cell r="F31">
            <v>3</v>
          </cell>
          <cell r="G31">
            <v>2</v>
          </cell>
          <cell r="H31">
            <v>4</v>
          </cell>
          <cell r="I31">
            <v>4</v>
          </cell>
          <cell r="J31">
            <v>1</v>
          </cell>
          <cell r="K31">
            <v>4</v>
          </cell>
          <cell r="L31">
            <v>4</v>
          </cell>
          <cell r="M31">
            <v>2</v>
          </cell>
          <cell r="N31">
            <v>3</v>
          </cell>
          <cell r="O31">
            <v>4</v>
          </cell>
          <cell r="P31">
            <v>6</v>
          </cell>
          <cell r="Q31">
            <v>2</v>
          </cell>
          <cell r="R31">
            <v>2</v>
          </cell>
          <cell r="S31">
            <v>5</v>
          </cell>
          <cell r="T31">
            <v>3</v>
          </cell>
          <cell r="U31">
            <v>32</v>
          </cell>
          <cell r="V31">
            <v>28</v>
          </cell>
          <cell r="W31">
            <v>60</v>
          </cell>
          <cell r="X31" t="str">
            <v>Running, painting</v>
          </cell>
          <cell r="Y31">
            <v>3</v>
          </cell>
          <cell r="Z31">
            <v>3</v>
          </cell>
          <cell r="AA31">
            <v>4</v>
          </cell>
          <cell r="AB31">
            <v>1</v>
          </cell>
          <cell r="AC31">
            <v>2</v>
          </cell>
          <cell r="AD31">
            <v>1</v>
          </cell>
          <cell r="AE31">
            <v>0</v>
          </cell>
          <cell r="AF31">
            <v>1</v>
          </cell>
          <cell r="AG31">
            <v>3</v>
          </cell>
          <cell r="AH31">
            <v>18</v>
          </cell>
          <cell r="AI31" t="str">
            <v>Ice cream, gummy bears</v>
          </cell>
          <cell r="AJ31">
            <v>0</v>
          </cell>
          <cell r="AK31">
            <v>3</v>
          </cell>
          <cell r="AL31">
            <v>2</v>
          </cell>
          <cell r="AM31">
            <v>0</v>
          </cell>
          <cell r="AN31">
            <v>0</v>
          </cell>
          <cell r="AO31">
            <v>0</v>
          </cell>
          <cell r="AP31">
            <v>5</v>
          </cell>
          <cell r="AQ31" t="str">
            <v>Art night with friends, going ou</v>
          </cell>
          <cell r="AR31">
            <v>0</v>
          </cell>
          <cell r="AS31">
            <v>0</v>
          </cell>
          <cell r="AT31">
            <v>0</v>
          </cell>
          <cell r="AU31">
            <v>1</v>
          </cell>
          <cell r="AV31">
            <v>1</v>
          </cell>
          <cell r="AW31">
            <v>0</v>
          </cell>
          <cell r="AX31">
            <v>2</v>
          </cell>
          <cell r="AY31" t="str">
            <v>Listening to music, sitting outs</v>
          </cell>
          <cell r="AZ31">
            <v>3</v>
          </cell>
          <cell r="BA31">
            <v>1</v>
          </cell>
          <cell r="BB31">
            <v>0</v>
          </cell>
          <cell r="BC31">
            <v>0</v>
          </cell>
          <cell r="BD31">
            <v>1</v>
          </cell>
          <cell r="BE31">
            <v>5</v>
          </cell>
          <cell r="BF31">
            <v>30</v>
          </cell>
        </row>
        <row r="32">
          <cell r="A32">
            <v>894</v>
          </cell>
          <cell r="B32">
            <v>4</v>
          </cell>
          <cell r="C32">
            <v>5</v>
          </cell>
          <cell r="D32">
            <v>5</v>
          </cell>
          <cell r="E32">
            <v>6</v>
          </cell>
          <cell r="F32">
            <v>5</v>
          </cell>
          <cell r="G32">
            <v>5</v>
          </cell>
          <cell r="H32">
            <v>5</v>
          </cell>
          <cell r="I32">
            <v>4</v>
          </cell>
          <cell r="J32">
            <v>6</v>
          </cell>
          <cell r="K32">
            <v>4</v>
          </cell>
          <cell r="L32">
            <v>4</v>
          </cell>
          <cell r="M32">
            <v>4</v>
          </cell>
          <cell r="N32">
            <v>5</v>
          </cell>
          <cell r="O32">
            <v>2</v>
          </cell>
          <cell r="P32">
            <v>5</v>
          </cell>
          <cell r="Q32">
            <v>4</v>
          </cell>
          <cell r="R32">
            <v>5</v>
          </cell>
          <cell r="S32">
            <v>5</v>
          </cell>
          <cell r="T32">
            <v>6</v>
          </cell>
          <cell r="U32">
            <v>44</v>
          </cell>
          <cell r="V32">
            <v>40</v>
          </cell>
          <cell r="W32">
            <v>84</v>
          </cell>
          <cell r="X32" t="str">
            <v>Reading and running</v>
          </cell>
          <cell r="Y32">
            <v>3</v>
          </cell>
          <cell r="Z32">
            <v>3</v>
          </cell>
          <cell r="AA32">
            <v>2</v>
          </cell>
          <cell r="AB32">
            <v>3</v>
          </cell>
          <cell r="AC32">
            <v>3</v>
          </cell>
          <cell r="AD32">
            <v>3</v>
          </cell>
          <cell r="AE32">
            <v>4</v>
          </cell>
          <cell r="AF32">
            <v>4</v>
          </cell>
          <cell r="AG32">
            <v>3</v>
          </cell>
          <cell r="AH32">
            <v>28</v>
          </cell>
          <cell r="AI32" t="str">
            <v>Pasta and coffee</v>
          </cell>
          <cell r="AJ32">
            <v>2</v>
          </cell>
          <cell r="AK32">
            <v>4</v>
          </cell>
          <cell r="AL32">
            <v>4</v>
          </cell>
          <cell r="AM32">
            <v>2</v>
          </cell>
          <cell r="AN32">
            <v>1</v>
          </cell>
          <cell r="AO32">
            <v>1</v>
          </cell>
          <cell r="AP32">
            <v>14</v>
          </cell>
          <cell r="AQ32" t="str">
            <v>Hanging out with friends and goi</v>
          </cell>
          <cell r="AR32">
            <v>4</v>
          </cell>
          <cell r="AS32">
            <v>4</v>
          </cell>
          <cell r="AT32">
            <v>2</v>
          </cell>
          <cell r="AU32">
            <v>4</v>
          </cell>
          <cell r="AV32">
            <v>4</v>
          </cell>
          <cell r="AW32">
            <v>3</v>
          </cell>
          <cell r="AX32">
            <v>21</v>
          </cell>
          <cell r="AY32" t="str">
            <v>Watching the sunset and listenin</v>
          </cell>
          <cell r="AZ32">
            <v>2</v>
          </cell>
          <cell r="BA32">
            <v>2</v>
          </cell>
          <cell r="BB32">
            <v>2</v>
          </cell>
          <cell r="BC32">
            <v>3</v>
          </cell>
          <cell r="BD32">
            <v>3</v>
          </cell>
          <cell r="BE32">
            <v>12</v>
          </cell>
          <cell r="BF32">
            <v>75</v>
          </cell>
        </row>
        <row r="33">
          <cell r="A33">
            <v>895</v>
          </cell>
          <cell r="B33">
            <v>5</v>
          </cell>
          <cell r="C33">
            <v>6</v>
          </cell>
          <cell r="D33">
            <v>6</v>
          </cell>
          <cell r="E33">
            <v>6</v>
          </cell>
          <cell r="F33">
            <v>3</v>
          </cell>
          <cell r="G33">
            <v>6</v>
          </cell>
          <cell r="H33">
            <v>6</v>
          </cell>
          <cell r="I33">
            <v>5</v>
          </cell>
          <cell r="J33">
            <v>5</v>
          </cell>
          <cell r="K33">
            <v>5</v>
          </cell>
          <cell r="L33">
            <v>3</v>
          </cell>
          <cell r="M33">
            <v>3</v>
          </cell>
          <cell r="N33">
            <v>6</v>
          </cell>
          <cell r="O33">
            <v>1</v>
          </cell>
          <cell r="P33">
            <v>5</v>
          </cell>
          <cell r="Q33">
            <v>4</v>
          </cell>
          <cell r="R33">
            <v>4</v>
          </cell>
          <cell r="S33">
            <v>5</v>
          </cell>
          <cell r="T33">
            <v>6</v>
          </cell>
          <cell r="U33">
            <v>45</v>
          </cell>
          <cell r="V33">
            <v>39</v>
          </cell>
          <cell r="W33">
            <v>84</v>
          </cell>
          <cell r="X33" t="str">
            <v>Reading and gardening</v>
          </cell>
          <cell r="Y33">
            <v>3</v>
          </cell>
          <cell r="Z33">
            <v>4</v>
          </cell>
          <cell r="AA33">
            <v>3</v>
          </cell>
          <cell r="AB33">
            <v>4</v>
          </cell>
          <cell r="AC33">
            <v>4</v>
          </cell>
          <cell r="AD33">
            <v>4</v>
          </cell>
          <cell r="AE33">
            <v>4</v>
          </cell>
          <cell r="AF33">
            <v>4</v>
          </cell>
          <cell r="AG33">
            <v>4</v>
          </cell>
          <cell r="AH33">
            <v>34</v>
          </cell>
          <cell r="AI33" t="str">
            <v>Pizza and Filet mignon</v>
          </cell>
          <cell r="AJ33">
            <v>3</v>
          </cell>
          <cell r="AK33">
            <v>4</v>
          </cell>
          <cell r="AL33">
            <v>4</v>
          </cell>
          <cell r="AM33">
            <v>3</v>
          </cell>
          <cell r="AN33">
            <v>4</v>
          </cell>
          <cell r="AO33">
            <v>3</v>
          </cell>
          <cell r="AP33">
            <v>21</v>
          </cell>
          <cell r="AQ33" t="str">
            <v>Eating out with friends or famil</v>
          </cell>
          <cell r="AR33">
            <v>4</v>
          </cell>
          <cell r="AS33">
            <v>4</v>
          </cell>
          <cell r="AT33">
            <v>3</v>
          </cell>
          <cell r="AU33">
            <v>4</v>
          </cell>
          <cell r="AV33">
            <v>4</v>
          </cell>
          <cell r="AW33">
            <v>4</v>
          </cell>
          <cell r="AX33">
            <v>23</v>
          </cell>
          <cell r="AY33" t="str">
            <v>watch movies and smell of candle</v>
          </cell>
          <cell r="AZ33">
            <v>3</v>
          </cell>
          <cell r="BA33">
            <v>3</v>
          </cell>
          <cell r="BB33">
            <v>3</v>
          </cell>
          <cell r="BC33">
            <v>4</v>
          </cell>
          <cell r="BD33">
            <v>4</v>
          </cell>
          <cell r="BE33">
            <v>17</v>
          </cell>
          <cell r="BF33">
            <v>95</v>
          </cell>
        </row>
        <row r="34">
          <cell r="A34">
            <v>899</v>
          </cell>
          <cell r="B34">
            <v>4</v>
          </cell>
          <cell r="C34">
            <v>6</v>
          </cell>
          <cell r="D34">
            <v>6</v>
          </cell>
          <cell r="E34">
            <v>6</v>
          </cell>
          <cell r="F34">
            <v>6</v>
          </cell>
          <cell r="G34">
            <v>6</v>
          </cell>
          <cell r="H34">
            <v>4</v>
          </cell>
          <cell r="I34">
            <v>4</v>
          </cell>
          <cell r="J34">
            <v>4</v>
          </cell>
          <cell r="K34">
            <v>3</v>
          </cell>
          <cell r="L34">
            <v>3</v>
          </cell>
          <cell r="M34">
            <v>2</v>
          </cell>
          <cell r="N34">
            <v>4</v>
          </cell>
          <cell r="O34">
            <v>3</v>
          </cell>
          <cell r="P34">
            <v>6</v>
          </cell>
          <cell r="Q34">
            <v>4</v>
          </cell>
          <cell r="R34">
            <v>4</v>
          </cell>
          <cell r="S34">
            <v>5</v>
          </cell>
          <cell r="T34">
            <v>5</v>
          </cell>
          <cell r="U34">
            <v>42</v>
          </cell>
          <cell r="V34">
            <v>39</v>
          </cell>
          <cell r="W34">
            <v>81</v>
          </cell>
          <cell r="X34" t="str">
            <v>Exercising, Photography</v>
          </cell>
          <cell r="Y34">
            <v>4</v>
          </cell>
          <cell r="Z34">
            <v>4</v>
          </cell>
          <cell r="AA34">
            <v>4</v>
          </cell>
          <cell r="AB34">
            <v>4</v>
          </cell>
          <cell r="AC34">
            <v>4</v>
          </cell>
          <cell r="AD34">
            <v>4</v>
          </cell>
          <cell r="AE34">
            <v>4</v>
          </cell>
          <cell r="AF34">
            <v>4</v>
          </cell>
          <cell r="AG34">
            <v>4</v>
          </cell>
          <cell r="AH34">
            <v>36</v>
          </cell>
          <cell r="AI34" t="str">
            <v>Salmon, Neuro Sonic drink</v>
          </cell>
          <cell r="AJ34">
            <v>4</v>
          </cell>
          <cell r="AK34">
            <v>4</v>
          </cell>
          <cell r="AL34">
            <v>4</v>
          </cell>
          <cell r="AM34">
            <v>4</v>
          </cell>
          <cell r="AN34">
            <v>4</v>
          </cell>
          <cell r="AO34">
            <v>4</v>
          </cell>
          <cell r="AP34">
            <v>24</v>
          </cell>
          <cell r="AQ34" t="str">
            <v>Hanging out with my kids, Hangin</v>
          </cell>
          <cell r="AR34">
            <v>4</v>
          </cell>
          <cell r="AS34">
            <v>4</v>
          </cell>
          <cell r="AT34">
            <v>3</v>
          </cell>
          <cell r="AU34">
            <v>4</v>
          </cell>
          <cell r="AV34">
            <v>4</v>
          </cell>
          <cell r="AW34">
            <v>4</v>
          </cell>
          <cell r="AX34">
            <v>23</v>
          </cell>
          <cell r="AY34" t="str">
            <v>Listening to music, watching a s</v>
          </cell>
          <cell r="AZ34">
            <v>4</v>
          </cell>
          <cell r="BA34">
            <v>4</v>
          </cell>
          <cell r="BB34">
            <v>4</v>
          </cell>
          <cell r="BC34">
            <v>4</v>
          </cell>
          <cell r="BD34">
            <v>4</v>
          </cell>
          <cell r="BE34">
            <v>20</v>
          </cell>
          <cell r="BF34">
            <v>103</v>
          </cell>
        </row>
        <row r="35">
          <cell r="A35">
            <v>901</v>
          </cell>
          <cell r="B35">
            <v>2</v>
          </cell>
          <cell r="C35">
            <v>6</v>
          </cell>
          <cell r="D35">
            <v>6</v>
          </cell>
          <cell r="E35">
            <v>6</v>
          </cell>
          <cell r="F35">
            <v>5</v>
          </cell>
          <cell r="G35">
            <v>5</v>
          </cell>
          <cell r="H35">
            <v>6</v>
          </cell>
          <cell r="I35">
            <v>2</v>
          </cell>
          <cell r="J35">
            <v>3</v>
          </cell>
          <cell r="K35">
            <v>5</v>
          </cell>
          <cell r="L35">
            <v>4</v>
          </cell>
          <cell r="M35">
            <v>3</v>
          </cell>
          <cell r="N35">
            <v>6</v>
          </cell>
          <cell r="O35">
            <v>1</v>
          </cell>
          <cell r="P35">
            <v>6</v>
          </cell>
          <cell r="Q35">
            <v>6</v>
          </cell>
          <cell r="R35">
            <v>5</v>
          </cell>
          <cell r="S35">
            <v>6</v>
          </cell>
          <cell r="T35">
            <v>6</v>
          </cell>
          <cell r="U35">
            <v>42</v>
          </cell>
          <cell r="V35">
            <v>41</v>
          </cell>
          <cell r="W35">
            <v>83</v>
          </cell>
          <cell r="X35" t="str">
            <v>Gym/running or working out in ge</v>
          </cell>
          <cell r="Y35">
            <v>4</v>
          </cell>
          <cell r="Z35">
            <v>4</v>
          </cell>
          <cell r="AA35">
            <v>4</v>
          </cell>
          <cell r="AB35">
            <v>4</v>
          </cell>
          <cell r="AC35">
            <v>4</v>
          </cell>
          <cell r="AD35">
            <v>4</v>
          </cell>
          <cell r="AE35">
            <v>4</v>
          </cell>
          <cell r="AF35">
            <v>4</v>
          </cell>
          <cell r="AG35">
            <v>4</v>
          </cell>
          <cell r="AH35">
            <v>36</v>
          </cell>
          <cell r="AI35" t="str">
            <v>Sushi and iced coffee</v>
          </cell>
          <cell r="AJ35">
            <v>3</v>
          </cell>
          <cell r="AK35">
            <v>3</v>
          </cell>
          <cell r="AL35">
            <v>3</v>
          </cell>
          <cell r="AM35">
            <v>2</v>
          </cell>
          <cell r="AN35">
            <v>2</v>
          </cell>
          <cell r="AO35">
            <v>2</v>
          </cell>
          <cell r="AP35">
            <v>15</v>
          </cell>
          <cell r="AQ35" t="str">
            <v>games (football and volleyball)</v>
          </cell>
          <cell r="AR35">
            <v>3</v>
          </cell>
          <cell r="AS35">
            <v>3</v>
          </cell>
          <cell r="AT35">
            <v>2</v>
          </cell>
          <cell r="AU35">
            <v>3</v>
          </cell>
          <cell r="AV35">
            <v>4</v>
          </cell>
          <cell r="AW35">
            <v>3</v>
          </cell>
          <cell r="AX35">
            <v>18</v>
          </cell>
          <cell r="AY35" t="str">
            <v>music  stargazing</v>
          </cell>
          <cell r="AZ35">
            <v>4</v>
          </cell>
          <cell r="BA35">
            <v>4</v>
          </cell>
          <cell r="BB35">
            <v>3</v>
          </cell>
          <cell r="BC35">
            <v>4</v>
          </cell>
          <cell r="BD35">
            <v>4</v>
          </cell>
          <cell r="BE35">
            <v>19</v>
          </cell>
          <cell r="BF35">
            <v>88</v>
          </cell>
        </row>
        <row r="36">
          <cell r="A36">
            <v>904</v>
          </cell>
          <cell r="B36">
            <v>2</v>
          </cell>
          <cell r="C36">
            <v>2</v>
          </cell>
          <cell r="D36">
            <v>1</v>
          </cell>
          <cell r="E36">
            <v>2</v>
          </cell>
          <cell r="F36">
            <v>6</v>
          </cell>
          <cell r="G36">
            <v>3</v>
          </cell>
          <cell r="H36">
            <v>4</v>
          </cell>
          <cell r="I36">
            <v>3</v>
          </cell>
          <cell r="J36">
            <v>4</v>
          </cell>
          <cell r="K36">
            <v>1</v>
          </cell>
          <cell r="L36">
            <v>1</v>
          </cell>
          <cell r="M36">
            <v>1</v>
          </cell>
          <cell r="N36">
            <v>3</v>
          </cell>
          <cell r="O36">
            <v>4</v>
          </cell>
          <cell r="P36">
            <v>6</v>
          </cell>
          <cell r="Q36">
            <v>2</v>
          </cell>
          <cell r="R36">
            <v>3</v>
          </cell>
          <cell r="S36">
            <v>3</v>
          </cell>
          <cell r="T36">
            <v>1</v>
          </cell>
          <cell r="U36">
            <v>22</v>
          </cell>
          <cell r="V36">
            <v>27</v>
          </cell>
          <cell r="W36">
            <v>49</v>
          </cell>
          <cell r="X36" t="str">
            <v>Cooking, cat fostering</v>
          </cell>
          <cell r="Y36">
            <v>3</v>
          </cell>
          <cell r="Z36">
            <v>2</v>
          </cell>
          <cell r="AA36">
            <v>3</v>
          </cell>
          <cell r="AB36">
            <v>4</v>
          </cell>
          <cell r="AC36">
            <v>4</v>
          </cell>
          <cell r="AD36">
            <v>2</v>
          </cell>
          <cell r="AE36">
            <v>3</v>
          </cell>
          <cell r="AF36">
            <v>4</v>
          </cell>
          <cell r="AG36">
            <v>4</v>
          </cell>
          <cell r="AH36">
            <v>29</v>
          </cell>
          <cell r="AI36" t="str">
            <v>Mac and cheese, nutella</v>
          </cell>
          <cell r="AJ36">
            <v>4</v>
          </cell>
          <cell r="AK36">
            <v>4</v>
          </cell>
          <cell r="AL36">
            <v>4</v>
          </cell>
          <cell r="AM36">
            <v>4</v>
          </cell>
          <cell r="AN36">
            <v>4</v>
          </cell>
          <cell r="AO36">
            <v>4</v>
          </cell>
          <cell r="AP36">
            <v>24</v>
          </cell>
          <cell r="AQ36" t="str">
            <v>Beer tasting, watching tv togeth</v>
          </cell>
          <cell r="AR36">
            <v>2</v>
          </cell>
          <cell r="AS36">
            <v>4</v>
          </cell>
          <cell r="AT36">
            <v>4</v>
          </cell>
          <cell r="AU36">
            <v>4</v>
          </cell>
          <cell r="AV36">
            <v>4</v>
          </cell>
          <cell r="AW36">
            <v>4</v>
          </cell>
          <cell r="AX36">
            <v>22</v>
          </cell>
          <cell r="AY36" t="str">
            <v>Getting a back rub, holding a ca</v>
          </cell>
          <cell r="AZ36">
            <v>4</v>
          </cell>
          <cell r="BA36">
            <v>2</v>
          </cell>
          <cell r="BB36">
            <v>2</v>
          </cell>
          <cell r="BC36">
            <v>4</v>
          </cell>
          <cell r="BD36">
            <v>3</v>
          </cell>
          <cell r="BE36">
            <v>15</v>
          </cell>
          <cell r="BF36">
            <v>90</v>
          </cell>
        </row>
        <row r="37">
          <cell r="A37">
            <v>906</v>
          </cell>
          <cell r="B37">
            <v>4</v>
          </cell>
          <cell r="C37">
            <v>2</v>
          </cell>
          <cell r="D37">
            <v>5</v>
          </cell>
          <cell r="E37">
            <v>1</v>
          </cell>
          <cell r="F37">
            <v>5</v>
          </cell>
          <cell r="G37">
            <v>2</v>
          </cell>
          <cell r="H37">
            <v>4</v>
          </cell>
          <cell r="I37">
            <v>5</v>
          </cell>
          <cell r="J37">
            <v>1</v>
          </cell>
          <cell r="K37">
            <v>4</v>
          </cell>
          <cell r="L37">
            <v>5</v>
          </cell>
          <cell r="M37">
            <v>2</v>
          </cell>
          <cell r="N37">
            <v>4</v>
          </cell>
          <cell r="O37">
            <v>3</v>
          </cell>
          <cell r="P37">
            <v>5</v>
          </cell>
          <cell r="Q37">
            <v>3</v>
          </cell>
          <cell r="R37">
            <v>2</v>
          </cell>
          <cell r="S37">
            <v>5</v>
          </cell>
          <cell r="T37">
            <v>4</v>
          </cell>
          <cell r="U37">
            <v>33</v>
          </cell>
          <cell r="V37">
            <v>29</v>
          </cell>
          <cell r="W37">
            <v>62</v>
          </cell>
          <cell r="X37" t="str">
            <v>reading, TV</v>
          </cell>
          <cell r="Y37">
            <v>1</v>
          </cell>
          <cell r="Z37">
            <v>2</v>
          </cell>
          <cell r="AA37">
            <v>1</v>
          </cell>
          <cell r="AB37">
            <v>2</v>
          </cell>
          <cell r="AC37">
            <v>2</v>
          </cell>
          <cell r="AD37">
            <v>1</v>
          </cell>
          <cell r="AE37">
            <v>1</v>
          </cell>
          <cell r="AF37">
            <v>1</v>
          </cell>
          <cell r="AG37">
            <v>0</v>
          </cell>
          <cell r="AH37">
            <v>11</v>
          </cell>
          <cell r="AI37" t="str">
            <v>coffee, chinese</v>
          </cell>
          <cell r="AJ37">
            <v>1</v>
          </cell>
          <cell r="AK37">
            <v>1</v>
          </cell>
          <cell r="AL37">
            <v>2</v>
          </cell>
          <cell r="AM37">
            <v>1</v>
          </cell>
          <cell r="AN37">
            <v>1</v>
          </cell>
          <cell r="AO37">
            <v>0</v>
          </cell>
          <cell r="AP37">
            <v>6</v>
          </cell>
          <cell r="AQ37" t="str">
            <v>spending time w/ family, movie n</v>
          </cell>
          <cell r="AR37">
            <v>2</v>
          </cell>
          <cell r="AS37">
            <v>2</v>
          </cell>
          <cell r="AT37">
            <v>0</v>
          </cell>
          <cell r="AU37">
            <v>1</v>
          </cell>
          <cell r="AV37">
            <v>1</v>
          </cell>
          <cell r="AW37">
            <v>1</v>
          </cell>
          <cell r="AX37">
            <v>7</v>
          </cell>
          <cell r="AY37" t="str">
            <v>listening to music, good smells</v>
          </cell>
          <cell r="AZ37">
            <v>1</v>
          </cell>
          <cell r="BA37">
            <v>0</v>
          </cell>
          <cell r="BB37">
            <v>1</v>
          </cell>
          <cell r="BC37">
            <v>2</v>
          </cell>
          <cell r="BD37">
            <v>0</v>
          </cell>
          <cell r="BE37">
            <v>4</v>
          </cell>
          <cell r="BF37">
            <v>28</v>
          </cell>
        </row>
        <row r="38">
          <cell r="A38">
            <v>915</v>
          </cell>
          <cell r="B38">
            <v>3</v>
          </cell>
          <cell r="C38">
            <v>6</v>
          </cell>
          <cell r="D38">
            <v>4</v>
          </cell>
          <cell r="E38">
            <v>4</v>
          </cell>
          <cell r="F38">
            <v>4</v>
          </cell>
          <cell r="G38">
            <v>4</v>
          </cell>
          <cell r="H38">
            <v>5</v>
          </cell>
          <cell r="I38">
            <v>4</v>
          </cell>
          <cell r="J38">
            <v>4</v>
          </cell>
          <cell r="K38">
            <v>1</v>
          </cell>
          <cell r="L38">
            <v>1</v>
          </cell>
          <cell r="M38">
            <v>4</v>
          </cell>
          <cell r="N38">
            <v>4</v>
          </cell>
          <cell r="O38">
            <v>3</v>
          </cell>
          <cell r="P38">
            <v>4</v>
          </cell>
          <cell r="Q38">
            <v>4</v>
          </cell>
          <cell r="R38">
            <v>4</v>
          </cell>
          <cell r="S38">
            <v>5</v>
          </cell>
          <cell r="T38">
            <v>5</v>
          </cell>
          <cell r="U38">
            <v>33</v>
          </cell>
          <cell r="V38">
            <v>36</v>
          </cell>
          <cell r="W38">
            <v>69</v>
          </cell>
          <cell r="X38" t="str">
            <v>yoga, cooking</v>
          </cell>
          <cell r="Y38">
            <v>3</v>
          </cell>
          <cell r="Z38">
            <v>3</v>
          </cell>
          <cell r="AA38">
            <v>3</v>
          </cell>
          <cell r="AB38">
            <v>3</v>
          </cell>
          <cell r="AC38">
            <v>3</v>
          </cell>
          <cell r="AD38">
            <v>2</v>
          </cell>
          <cell r="AE38">
            <v>4</v>
          </cell>
          <cell r="AF38">
            <v>4</v>
          </cell>
          <cell r="AG38">
            <v>4</v>
          </cell>
          <cell r="AH38">
            <v>29</v>
          </cell>
          <cell r="AI38" t="str">
            <v>pizza, bagels</v>
          </cell>
          <cell r="AJ38">
            <v>4</v>
          </cell>
          <cell r="AK38">
            <v>4</v>
          </cell>
          <cell r="AL38">
            <v>4</v>
          </cell>
          <cell r="AM38">
            <v>4</v>
          </cell>
          <cell r="AN38">
            <v>4</v>
          </cell>
          <cell r="AO38">
            <v>4</v>
          </cell>
          <cell r="AP38">
            <v>24</v>
          </cell>
          <cell r="AQ38" t="str">
            <v>hikes with friends, late night f</v>
          </cell>
          <cell r="AR38">
            <v>3</v>
          </cell>
          <cell r="AS38">
            <v>3</v>
          </cell>
          <cell r="AT38">
            <v>2</v>
          </cell>
          <cell r="AU38">
            <v>3</v>
          </cell>
          <cell r="AV38">
            <v>3</v>
          </cell>
          <cell r="AW38">
            <v>3</v>
          </cell>
          <cell r="AX38">
            <v>17</v>
          </cell>
          <cell r="AY38" t="str">
            <v>breathing fresh air on a sunny d</v>
          </cell>
          <cell r="AZ38">
            <v>3</v>
          </cell>
          <cell r="BA38">
            <v>3</v>
          </cell>
          <cell r="BB38">
            <v>3</v>
          </cell>
          <cell r="BC38">
            <v>3</v>
          </cell>
          <cell r="BD38">
            <v>3</v>
          </cell>
          <cell r="BE38">
            <v>15</v>
          </cell>
          <cell r="BF38">
            <v>85</v>
          </cell>
        </row>
        <row r="39">
          <cell r="A39">
            <v>916</v>
          </cell>
          <cell r="B39">
            <v>5</v>
          </cell>
          <cell r="C39">
            <v>6</v>
          </cell>
          <cell r="D39">
            <v>5</v>
          </cell>
          <cell r="E39">
            <v>5</v>
          </cell>
          <cell r="F39">
            <v>2</v>
          </cell>
          <cell r="G39">
            <v>5</v>
          </cell>
          <cell r="H39">
            <v>6</v>
          </cell>
          <cell r="I39">
            <v>3</v>
          </cell>
          <cell r="J39">
            <v>6</v>
          </cell>
          <cell r="K39">
            <v>2</v>
          </cell>
          <cell r="L39">
            <v>1</v>
          </cell>
          <cell r="M39">
            <v>4</v>
          </cell>
          <cell r="N39">
            <v>4</v>
          </cell>
          <cell r="O39">
            <v>3</v>
          </cell>
          <cell r="P39">
            <v>5</v>
          </cell>
          <cell r="Q39">
            <v>4</v>
          </cell>
          <cell r="R39">
            <v>4</v>
          </cell>
          <cell r="S39">
            <v>5</v>
          </cell>
          <cell r="T39">
            <v>5</v>
          </cell>
          <cell r="U39">
            <v>37</v>
          </cell>
          <cell r="V39">
            <v>39</v>
          </cell>
          <cell r="W39">
            <v>76</v>
          </cell>
          <cell r="X39" t="str">
            <v>movies, cooking, reading</v>
          </cell>
          <cell r="Y39">
            <v>4</v>
          </cell>
          <cell r="Z39">
            <v>4</v>
          </cell>
          <cell r="AA39">
            <v>4</v>
          </cell>
          <cell r="AB39">
            <v>4</v>
          </cell>
          <cell r="AC39">
            <v>4</v>
          </cell>
          <cell r="AD39">
            <v>4</v>
          </cell>
          <cell r="AE39">
            <v>4</v>
          </cell>
          <cell r="AF39">
            <v>4</v>
          </cell>
          <cell r="AG39">
            <v>4</v>
          </cell>
          <cell r="AH39">
            <v>36</v>
          </cell>
          <cell r="AI39" t="str">
            <v>rice, plantain</v>
          </cell>
          <cell r="AJ39">
            <v>4</v>
          </cell>
          <cell r="AK39">
            <v>4</v>
          </cell>
          <cell r="AL39">
            <v>4</v>
          </cell>
          <cell r="AM39">
            <v>3</v>
          </cell>
          <cell r="AN39">
            <v>4</v>
          </cell>
          <cell r="AO39">
            <v>4</v>
          </cell>
          <cell r="AP39">
            <v>23</v>
          </cell>
          <cell r="AQ39" t="str">
            <v>hanging out with partner, meetin</v>
          </cell>
          <cell r="AR39">
            <v>4</v>
          </cell>
          <cell r="AS39">
            <v>4</v>
          </cell>
          <cell r="AT39">
            <v>2</v>
          </cell>
          <cell r="AU39">
            <v>4</v>
          </cell>
          <cell r="AV39">
            <v>4</v>
          </cell>
          <cell r="AW39">
            <v>3</v>
          </cell>
          <cell r="AX39">
            <v>21</v>
          </cell>
          <cell r="AY39" t="str">
            <v>listening to music, watching sun</v>
          </cell>
          <cell r="AZ39">
            <v>4</v>
          </cell>
          <cell r="BA39">
            <v>4</v>
          </cell>
          <cell r="BB39">
            <v>4</v>
          </cell>
          <cell r="BC39">
            <v>4</v>
          </cell>
          <cell r="BD39">
            <v>4</v>
          </cell>
          <cell r="BE39">
            <v>20</v>
          </cell>
          <cell r="BF39">
            <v>100</v>
          </cell>
        </row>
        <row r="40">
          <cell r="A40">
            <v>918</v>
          </cell>
          <cell r="B40">
            <v>1</v>
          </cell>
          <cell r="C40">
            <v>4</v>
          </cell>
          <cell r="D40">
            <v>4</v>
          </cell>
          <cell r="E40">
            <v>1</v>
          </cell>
          <cell r="F40">
            <v>2</v>
          </cell>
          <cell r="G40">
            <v>2</v>
          </cell>
          <cell r="H40">
            <v>2</v>
          </cell>
          <cell r="I40">
            <v>5</v>
          </cell>
          <cell r="J40">
            <v>2</v>
          </cell>
          <cell r="K40">
            <v>1</v>
          </cell>
          <cell r="L40">
            <v>1</v>
          </cell>
          <cell r="M40">
            <v>2</v>
          </cell>
          <cell r="N40">
            <v>4</v>
          </cell>
          <cell r="O40">
            <v>3</v>
          </cell>
          <cell r="P40">
            <v>4</v>
          </cell>
          <cell r="Q40">
            <v>6</v>
          </cell>
          <cell r="R40">
            <v>4</v>
          </cell>
          <cell r="S40">
            <v>3</v>
          </cell>
          <cell r="T40">
            <v>2</v>
          </cell>
          <cell r="U40">
            <v>26</v>
          </cell>
          <cell r="V40">
            <v>23</v>
          </cell>
          <cell r="W40">
            <v>49</v>
          </cell>
          <cell r="X40" t="str">
            <v>Playing piano  Working on cars</v>
          </cell>
          <cell r="Y40">
            <v>2</v>
          </cell>
          <cell r="Z40">
            <v>0</v>
          </cell>
          <cell r="AA40">
            <v>1</v>
          </cell>
          <cell r="AB40">
            <v>1</v>
          </cell>
          <cell r="AC40">
            <v>0</v>
          </cell>
          <cell r="AD40">
            <v>0</v>
          </cell>
          <cell r="AE40">
            <v>1</v>
          </cell>
          <cell r="AF40">
            <v>1</v>
          </cell>
          <cell r="AG40">
            <v>3</v>
          </cell>
          <cell r="AH40">
            <v>9</v>
          </cell>
          <cell r="AI40" t="str">
            <v>Chocolate  Ice cream</v>
          </cell>
          <cell r="AJ40">
            <v>1</v>
          </cell>
          <cell r="AK40">
            <v>2</v>
          </cell>
          <cell r="AL40">
            <v>2</v>
          </cell>
          <cell r="AM40">
            <v>1</v>
          </cell>
          <cell r="AN40">
            <v>1</v>
          </cell>
          <cell r="AO40">
            <v>1</v>
          </cell>
          <cell r="AP40">
            <v>8</v>
          </cell>
          <cell r="AQ40" t="str">
            <v>Eating with family  Hanging out</v>
          </cell>
          <cell r="AR40">
            <v>2</v>
          </cell>
          <cell r="AS40">
            <v>4</v>
          </cell>
          <cell r="AT40">
            <v>1</v>
          </cell>
          <cell r="AU40">
            <v>3</v>
          </cell>
          <cell r="AV40">
            <v>1</v>
          </cell>
          <cell r="AW40">
            <v>2</v>
          </cell>
          <cell r="AX40">
            <v>13</v>
          </cell>
          <cell r="AY40" t="str">
            <v>Listening to music  Spicy food</v>
          </cell>
          <cell r="AZ40">
            <v>4</v>
          </cell>
          <cell r="BA40">
            <v>4</v>
          </cell>
          <cell r="BB40">
            <v>4</v>
          </cell>
          <cell r="BC40">
            <v>4</v>
          </cell>
          <cell r="BD40">
            <v>4</v>
          </cell>
          <cell r="BE40">
            <v>20</v>
          </cell>
          <cell r="BF40">
            <v>50</v>
          </cell>
        </row>
        <row r="41">
          <cell r="A41">
            <v>921</v>
          </cell>
          <cell r="B41">
            <v>5</v>
          </cell>
          <cell r="C41">
            <v>6</v>
          </cell>
          <cell r="D41">
            <v>6</v>
          </cell>
          <cell r="E41">
            <v>5</v>
          </cell>
          <cell r="F41">
            <v>5</v>
          </cell>
          <cell r="G41">
            <v>5</v>
          </cell>
          <cell r="H41">
            <v>6</v>
          </cell>
          <cell r="I41">
            <v>4</v>
          </cell>
          <cell r="J41">
            <v>5</v>
          </cell>
          <cell r="K41">
            <v>4</v>
          </cell>
          <cell r="L41">
            <v>4</v>
          </cell>
          <cell r="M41">
            <v>5</v>
          </cell>
          <cell r="N41">
            <v>6</v>
          </cell>
          <cell r="O41">
            <v>1</v>
          </cell>
          <cell r="P41">
            <v>5</v>
          </cell>
          <cell r="Q41">
            <v>5</v>
          </cell>
          <cell r="R41">
            <v>4</v>
          </cell>
          <cell r="S41">
            <v>6</v>
          </cell>
          <cell r="T41">
            <v>5</v>
          </cell>
          <cell r="U41">
            <v>42</v>
          </cell>
          <cell r="V41">
            <v>44</v>
          </cell>
          <cell r="W41">
            <v>86</v>
          </cell>
          <cell r="X41" t="str">
            <v>Baking  Reading</v>
          </cell>
          <cell r="Y41">
            <v>4</v>
          </cell>
          <cell r="Z41">
            <v>4</v>
          </cell>
          <cell r="AA41">
            <v>4</v>
          </cell>
          <cell r="AB41">
            <v>3</v>
          </cell>
          <cell r="AC41">
            <v>3</v>
          </cell>
          <cell r="AD41">
            <v>3</v>
          </cell>
          <cell r="AE41">
            <v>4</v>
          </cell>
          <cell r="AF41">
            <v>4</v>
          </cell>
          <cell r="AG41">
            <v>4</v>
          </cell>
          <cell r="AH41">
            <v>33</v>
          </cell>
          <cell r="AI41" t="str">
            <v>Taco Salad  Stuffed grape leaves</v>
          </cell>
          <cell r="AJ41">
            <v>3</v>
          </cell>
          <cell r="AK41">
            <v>3</v>
          </cell>
          <cell r="AL41">
            <v>3</v>
          </cell>
          <cell r="AM41">
            <v>4</v>
          </cell>
          <cell r="AN41">
            <v>3</v>
          </cell>
          <cell r="AO41">
            <v>4</v>
          </cell>
          <cell r="AP41">
            <v>20</v>
          </cell>
          <cell r="AQ41" t="str">
            <v>Meeting friends for adult time</v>
          </cell>
          <cell r="AR41">
            <v>3</v>
          </cell>
          <cell r="AS41">
            <v>3</v>
          </cell>
          <cell r="AT41">
            <v>2</v>
          </cell>
          <cell r="AU41">
            <v>3</v>
          </cell>
          <cell r="AV41">
            <v>4</v>
          </cell>
          <cell r="AW41">
            <v>4</v>
          </cell>
          <cell r="AX41">
            <v>19</v>
          </cell>
          <cell r="AY41" t="str">
            <v>Smelling flowers  Touching soft</v>
          </cell>
          <cell r="AZ41">
            <v>3</v>
          </cell>
          <cell r="BA41">
            <v>2</v>
          </cell>
          <cell r="BB41">
            <v>2</v>
          </cell>
          <cell r="BC41">
            <v>3</v>
          </cell>
          <cell r="BD41">
            <v>3</v>
          </cell>
          <cell r="BE41">
            <v>13</v>
          </cell>
          <cell r="BF41">
            <v>85</v>
          </cell>
        </row>
        <row r="42">
          <cell r="A42">
            <v>931</v>
          </cell>
          <cell r="B42">
            <v>5</v>
          </cell>
          <cell r="C42">
            <v>6</v>
          </cell>
          <cell r="D42">
            <v>6</v>
          </cell>
          <cell r="E42">
            <v>4</v>
          </cell>
          <cell r="F42">
            <v>6</v>
          </cell>
          <cell r="G42">
            <v>4</v>
          </cell>
          <cell r="H42">
            <v>2</v>
          </cell>
          <cell r="I42">
            <v>4</v>
          </cell>
          <cell r="J42">
            <v>6</v>
          </cell>
          <cell r="K42">
            <v>5</v>
          </cell>
          <cell r="L42">
            <v>2</v>
          </cell>
          <cell r="M42">
            <v>4</v>
          </cell>
          <cell r="N42">
            <v>4</v>
          </cell>
          <cell r="O42">
            <v>3</v>
          </cell>
          <cell r="P42">
            <v>1</v>
          </cell>
          <cell r="Q42">
            <v>6</v>
          </cell>
          <cell r="R42">
            <v>4</v>
          </cell>
          <cell r="S42">
            <v>6</v>
          </cell>
          <cell r="T42">
            <v>4</v>
          </cell>
          <cell r="U42">
            <v>41</v>
          </cell>
          <cell r="V42">
            <v>37</v>
          </cell>
          <cell r="W42">
            <v>78</v>
          </cell>
          <cell r="X42" t="str">
            <v>Watching TV and playing games</v>
          </cell>
          <cell r="Y42">
            <v>3</v>
          </cell>
          <cell r="Z42">
            <v>2</v>
          </cell>
          <cell r="AA42">
            <v>2</v>
          </cell>
          <cell r="AB42">
            <v>2</v>
          </cell>
          <cell r="AC42">
            <v>2</v>
          </cell>
          <cell r="AD42">
            <v>1</v>
          </cell>
          <cell r="AE42">
            <v>1</v>
          </cell>
          <cell r="AF42">
            <v>2</v>
          </cell>
          <cell r="AG42">
            <v>2</v>
          </cell>
          <cell r="AH42">
            <v>17</v>
          </cell>
          <cell r="AI42" t="str">
            <v>Coffee, chicken</v>
          </cell>
          <cell r="AJ42">
            <v>1</v>
          </cell>
          <cell r="AK42">
            <v>1</v>
          </cell>
          <cell r="AL42">
            <v>3</v>
          </cell>
          <cell r="AM42">
            <v>3</v>
          </cell>
          <cell r="AN42">
            <v>3</v>
          </cell>
          <cell r="AO42">
            <v>3</v>
          </cell>
          <cell r="AP42">
            <v>14</v>
          </cell>
          <cell r="AQ42" t="str">
            <v>Joining a club/class, taking a t</v>
          </cell>
          <cell r="AR42">
            <v>3</v>
          </cell>
          <cell r="AS42">
            <v>1</v>
          </cell>
          <cell r="AT42">
            <v>0</v>
          </cell>
          <cell r="AU42">
            <v>2</v>
          </cell>
          <cell r="AV42">
            <v>3</v>
          </cell>
          <cell r="AW42">
            <v>1</v>
          </cell>
          <cell r="AX42">
            <v>10</v>
          </cell>
          <cell r="AY42" t="str">
            <v>Listening to music , feeling of</v>
          </cell>
          <cell r="AZ42">
            <v>3</v>
          </cell>
          <cell r="BA42">
            <v>0</v>
          </cell>
          <cell r="BB42">
            <v>1</v>
          </cell>
          <cell r="BC42">
            <v>3</v>
          </cell>
          <cell r="BD42">
            <v>1</v>
          </cell>
          <cell r="BE42">
            <v>8</v>
          </cell>
          <cell r="BF42">
            <v>49</v>
          </cell>
        </row>
        <row r="43">
          <cell r="A43">
            <v>932</v>
          </cell>
          <cell r="B43">
            <v>5</v>
          </cell>
          <cell r="C43">
            <v>4</v>
          </cell>
          <cell r="D43">
            <v>4</v>
          </cell>
          <cell r="E43">
            <v>3</v>
          </cell>
          <cell r="F43">
            <v>5</v>
          </cell>
          <cell r="G43">
            <v>6</v>
          </cell>
          <cell r="H43">
            <v>5</v>
          </cell>
          <cell r="I43">
            <v>6</v>
          </cell>
          <cell r="J43">
            <v>6</v>
          </cell>
          <cell r="K43">
            <v>4</v>
          </cell>
          <cell r="L43">
            <v>4</v>
          </cell>
          <cell r="M43">
            <v>4</v>
          </cell>
          <cell r="N43">
            <v>6</v>
          </cell>
          <cell r="O43">
            <v>1</v>
          </cell>
          <cell r="P43">
            <v>6</v>
          </cell>
          <cell r="Q43">
            <v>4</v>
          </cell>
          <cell r="R43">
            <v>4</v>
          </cell>
          <cell r="S43">
            <v>6</v>
          </cell>
          <cell r="T43">
            <v>6</v>
          </cell>
          <cell r="U43">
            <v>43</v>
          </cell>
          <cell r="V43">
            <v>40</v>
          </cell>
          <cell r="W43">
            <v>83</v>
          </cell>
          <cell r="X43" t="str">
            <v>Playing Trumpet, Hiking</v>
          </cell>
          <cell r="Y43">
            <v>4</v>
          </cell>
          <cell r="Z43">
            <v>4</v>
          </cell>
          <cell r="AA43">
            <v>4</v>
          </cell>
          <cell r="AB43">
            <v>4</v>
          </cell>
          <cell r="AC43">
            <v>4</v>
          </cell>
          <cell r="AD43">
            <v>4</v>
          </cell>
          <cell r="AE43">
            <v>3</v>
          </cell>
          <cell r="AF43">
            <v>2</v>
          </cell>
          <cell r="AG43">
            <v>3</v>
          </cell>
          <cell r="AH43">
            <v>32</v>
          </cell>
          <cell r="AI43" t="str">
            <v>Alfredo, Pizza</v>
          </cell>
          <cell r="AJ43">
            <v>3</v>
          </cell>
          <cell r="AK43">
            <v>4</v>
          </cell>
          <cell r="AL43">
            <v>3</v>
          </cell>
          <cell r="AM43">
            <v>4</v>
          </cell>
          <cell r="AN43">
            <v>3</v>
          </cell>
          <cell r="AO43">
            <v>3</v>
          </cell>
          <cell r="AP43">
            <v>20</v>
          </cell>
          <cell r="AQ43" t="str">
            <v>online videogames, partying</v>
          </cell>
          <cell r="AR43">
            <v>4</v>
          </cell>
          <cell r="AS43">
            <v>4</v>
          </cell>
          <cell r="AT43">
            <v>2</v>
          </cell>
          <cell r="AU43">
            <v>3</v>
          </cell>
          <cell r="AV43">
            <v>4</v>
          </cell>
          <cell r="AW43">
            <v>3</v>
          </cell>
          <cell r="AX43">
            <v>20</v>
          </cell>
          <cell r="AY43" t="str">
            <v>listening to music, the smell of</v>
          </cell>
          <cell r="AZ43">
            <v>4</v>
          </cell>
          <cell r="BA43">
            <v>4</v>
          </cell>
          <cell r="BB43">
            <v>4</v>
          </cell>
          <cell r="BC43">
            <v>4</v>
          </cell>
          <cell r="BD43">
            <v>4</v>
          </cell>
          <cell r="BE43">
            <v>20</v>
          </cell>
          <cell r="BF43">
            <v>92</v>
          </cell>
        </row>
        <row r="44">
          <cell r="A44">
            <v>937</v>
          </cell>
          <cell r="B44">
            <v>2</v>
          </cell>
          <cell r="C44">
            <v>6</v>
          </cell>
          <cell r="D44">
            <v>5</v>
          </cell>
          <cell r="E44">
            <v>6</v>
          </cell>
          <cell r="F44">
            <v>6</v>
          </cell>
          <cell r="G44">
            <v>6</v>
          </cell>
          <cell r="H44">
            <v>6</v>
          </cell>
          <cell r="I44">
            <v>4</v>
          </cell>
          <cell r="J44">
            <v>6</v>
          </cell>
          <cell r="K44">
            <v>5</v>
          </cell>
          <cell r="L44">
            <v>1</v>
          </cell>
          <cell r="M44">
            <v>2</v>
          </cell>
          <cell r="N44">
            <v>5</v>
          </cell>
          <cell r="O44">
            <v>2</v>
          </cell>
          <cell r="P44">
            <v>6</v>
          </cell>
          <cell r="Q44">
            <v>5</v>
          </cell>
          <cell r="R44">
            <v>5</v>
          </cell>
          <cell r="S44">
            <v>6</v>
          </cell>
          <cell r="T44">
            <v>6</v>
          </cell>
          <cell r="U44">
            <v>42</v>
          </cell>
          <cell r="V44">
            <v>43</v>
          </cell>
          <cell r="W44">
            <v>85</v>
          </cell>
          <cell r="X44" t="str">
            <v>Reading.   Kayaking</v>
          </cell>
          <cell r="Y44">
            <v>4</v>
          </cell>
          <cell r="Z44">
            <v>4</v>
          </cell>
          <cell r="AA44">
            <v>4</v>
          </cell>
          <cell r="AB44">
            <v>4</v>
          </cell>
          <cell r="AC44">
            <v>4</v>
          </cell>
          <cell r="AD44">
            <v>4</v>
          </cell>
          <cell r="AE44">
            <v>3</v>
          </cell>
          <cell r="AF44">
            <v>3</v>
          </cell>
          <cell r="AG44">
            <v>3</v>
          </cell>
          <cell r="AH44">
            <v>33</v>
          </cell>
          <cell r="AI44" t="str">
            <v>stuffed cabbage  water</v>
          </cell>
          <cell r="AJ44">
            <v>2</v>
          </cell>
          <cell r="AK44">
            <v>4</v>
          </cell>
          <cell r="AL44">
            <v>4</v>
          </cell>
          <cell r="AM44">
            <v>2</v>
          </cell>
          <cell r="AN44">
            <v>3</v>
          </cell>
          <cell r="AO44">
            <v>2</v>
          </cell>
          <cell r="AP44">
            <v>17</v>
          </cell>
          <cell r="AQ44" t="str">
            <v>dinner out  boating</v>
          </cell>
          <cell r="AR44">
            <v>4</v>
          </cell>
          <cell r="AS44">
            <v>2</v>
          </cell>
          <cell r="AT44">
            <v>4</v>
          </cell>
          <cell r="AU44">
            <v>4</v>
          </cell>
          <cell r="AV44">
            <v>4</v>
          </cell>
          <cell r="AW44">
            <v>4</v>
          </cell>
          <cell r="AX44">
            <v>22</v>
          </cell>
          <cell r="AY44" t="str">
            <v>watching snowfall.   food tastin</v>
          </cell>
          <cell r="AZ44">
            <v>3</v>
          </cell>
          <cell r="BA44">
            <v>4</v>
          </cell>
          <cell r="BB44">
            <v>3</v>
          </cell>
          <cell r="BC44">
            <v>4</v>
          </cell>
          <cell r="BD44">
            <v>4</v>
          </cell>
          <cell r="BE44">
            <v>18</v>
          </cell>
          <cell r="BF44">
            <v>90</v>
          </cell>
        </row>
        <row r="45">
          <cell r="A45">
            <v>939</v>
          </cell>
          <cell r="B45">
            <v>4</v>
          </cell>
          <cell r="C45">
            <v>2</v>
          </cell>
          <cell r="D45">
            <v>2</v>
          </cell>
          <cell r="E45">
            <v>2</v>
          </cell>
          <cell r="F45">
            <v>1</v>
          </cell>
          <cell r="G45">
            <v>2</v>
          </cell>
          <cell r="H45">
            <v>1</v>
          </cell>
          <cell r="I45">
            <v>4</v>
          </cell>
          <cell r="J45">
            <v>1</v>
          </cell>
          <cell r="K45">
            <v>1</v>
          </cell>
          <cell r="L45">
            <v>2</v>
          </cell>
          <cell r="M45">
            <v>2</v>
          </cell>
          <cell r="N45">
            <v>4</v>
          </cell>
          <cell r="O45">
            <v>3</v>
          </cell>
          <cell r="P45">
            <v>4</v>
          </cell>
          <cell r="Q45">
            <v>4</v>
          </cell>
          <cell r="R45">
            <v>4</v>
          </cell>
          <cell r="S45">
            <v>4</v>
          </cell>
          <cell r="T45">
            <v>4</v>
          </cell>
          <cell r="U45">
            <v>30</v>
          </cell>
          <cell r="V45">
            <v>17</v>
          </cell>
          <cell r="W45">
            <v>47</v>
          </cell>
          <cell r="X45" t="str">
            <v>Reading, cooking</v>
          </cell>
          <cell r="Y45">
            <v>1</v>
          </cell>
          <cell r="Z45">
            <v>1</v>
          </cell>
          <cell r="AA45">
            <v>1</v>
          </cell>
          <cell r="AB45">
            <v>1</v>
          </cell>
          <cell r="AC45">
            <v>1</v>
          </cell>
          <cell r="AD45">
            <v>1</v>
          </cell>
          <cell r="AE45">
            <v>0</v>
          </cell>
          <cell r="AF45">
            <v>0</v>
          </cell>
          <cell r="AG45">
            <v>0</v>
          </cell>
          <cell r="AH45">
            <v>6</v>
          </cell>
          <cell r="AI45" t="str">
            <v>Chocholate, Sandwich</v>
          </cell>
          <cell r="AJ45">
            <v>3</v>
          </cell>
          <cell r="AK45">
            <v>3</v>
          </cell>
          <cell r="AL45">
            <v>3</v>
          </cell>
          <cell r="AM45">
            <v>2</v>
          </cell>
          <cell r="AN45">
            <v>3</v>
          </cell>
          <cell r="AO45">
            <v>3</v>
          </cell>
          <cell r="AP45">
            <v>17</v>
          </cell>
          <cell r="AQ45" t="str">
            <v>going to a bar, going to casino</v>
          </cell>
          <cell r="AR45">
            <v>1</v>
          </cell>
          <cell r="AS45">
            <v>1</v>
          </cell>
          <cell r="AT45">
            <v>1</v>
          </cell>
          <cell r="AU45">
            <v>1</v>
          </cell>
          <cell r="AV45">
            <v>1</v>
          </cell>
          <cell r="AW45">
            <v>1</v>
          </cell>
          <cell r="AX45">
            <v>6</v>
          </cell>
          <cell r="AY45" t="str">
            <v>going to a sporting event, going</v>
          </cell>
          <cell r="AZ45">
            <v>1</v>
          </cell>
          <cell r="BA45">
            <v>1</v>
          </cell>
          <cell r="BB45">
            <v>1</v>
          </cell>
          <cell r="BC45">
            <v>1</v>
          </cell>
          <cell r="BD45">
            <v>1</v>
          </cell>
          <cell r="BE45">
            <v>5</v>
          </cell>
          <cell r="BF45">
            <v>34</v>
          </cell>
        </row>
        <row r="46">
          <cell r="A46">
            <v>942</v>
          </cell>
          <cell r="B46">
            <v>5</v>
          </cell>
          <cell r="C46">
            <v>5</v>
          </cell>
          <cell r="D46">
            <v>5</v>
          </cell>
          <cell r="E46">
            <v>5</v>
          </cell>
          <cell r="F46">
            <v>4</v>
          </cell>
          <cell r="G46">
            <v>4</v>
          </cell>
          <cell r="H46">
            <v>4</v>
          </cell>
          <cell r="I46">
            <v>5</v>
          </cell>
          <cell r="J46">
            <v>4</v>
          </cell>
          <cell r="K46">
            <v>5</v>
          </cell>
          <cell r="L46">
            <v>4</v>
          </cell>
          <cell r="M46">
            <v>4</v>
          </cell>
          <cell r="N46">
            <v>4</v>
          </cell>
          <cell r="O46">
            <v>3</v>
          </cell>
          <cell r="P46">
            <v>5</v>
          </cell>
          <cell r="Q46">
            <v>5</v>
          </cell>
          <cell r="R46">
            <v>4</v>
          </cell>
          <cell r="S46">
            <v>5</v>
          </cell>
          <cell r="T46">
            <v>5</v>
          </cell>
          <cell r="U46">
            <v>45</v>
          </cell>
          <cell r="V46">
            <v>36</v>
          </cell>
          <cell r="W46">
            <v>81</v>
          </cell>
          <cell r="X46" t="str">
            <v>panting,  bulding thing</v>
          </cell>
          <cell r="Y46">
            <v>2</v>
          </cell>
          <cell r="Z46">
            <v>2</v>
          </cell>
          <cell r="AA46">
            <v>3</v>
          </cell>
          <cell r="AB46">
            <v>3</v>
          </cell>
          <cell r="AC46">
            <v>3</v>
          </cell>
          <cell r="AD46">
            <v>3</v>
          </cell>
          <cell r="AE46">
            <v>3</v>
          </cell>
          <cell r="AF46">
            <v>3</v>
          </cell>
          <cell r="AG46">
            <v>3</v>
          </cell>
          <cell r="AH46">
            <v>25</v>
          </cell>
          <cell r="AI46" t="str">
            <v>fries , ice cream</v>
          </cell>
          <cell r="AJ46">
            <v>2</v>
          </cell>
          <cell r="AK46">
            <v>2</v>
          </cell>
          <cell r="AL46">
            <v>1</v>
          </cell>
          <cell r="AM46">
            <v>1</v>
          </cell>
          <cell r="AN46">
            <v>1</v>
          </cell>
          <cell r="AO46">
            <v>1</v>
          </cell>
          <cell r="AP46">
            <v>8</v>
          </cell>
          <cell r="AQ46" t="str">
            <v>concert , fairs</v>
          </cell>
          <cell r="AR46">
            <v>2</v>
          </cell>
          <cell r="AS46">
            <v>2</v>
          </cell>
          <cell r="AT46">
            <v>2</v>
          </cell>
          <cell r="AU46">
            <v>2</v>
          </cell>
          <cell r="AV46">
            <v>2</v>
          </cell>
          <cell r="AW46">
            <v>2</v>
          </cell>
          <cell r="AX46">
            <v>12</v>
          </cell>
          <cell r="AY46" t="str">
            <v>watching old sitcom and going on</v>
          </cell>
          <cell r="AZ46">
            <v>2</v>
          </cell>
          <cell r="BA46">
            <v>2</v>
          </cell>
          <cell r="BB46">
            <v>2</v>
          </cell>
          <cell r="BC46">
            <v>3</v>
          </cell>
          <cell r="BD46">
            <v>2</v>
          </cell>
          <cell r="BE46">
            <v>11</v>
          </cell>
          <cell r="BF46">
            <v>56</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q9IjuOCxJUaRlXKbl0LU_Ph5I_EfAHhFnZ_Xu1nb5fK_2vcCipt6Tr0lFZ4w44X0" itemId="01LPTIXLQ2MUSDRMZC75DZ4EXZINNOPIVH">
      <xxl21:absoluteUrl r:id="rId2"/>
    </xxl21:alternateUrls>
    <sheetNames>
      <sheetName val="fc_indiv"/>
      <sheetName val="for_thesis"/>
    </sheetNames>
    <sheetDataSet>
      <sheetData sheetId="0"/>
      <sheetData sheetId="1">
        <row r="2">
          <cell r="B2"/>
          <cell r="C2" t="str">
            <v>Mean</v>
          </cell>
        </row>
        <row r="3">
          <cell r="B3">
            <v>801</v>
          </cell>
          <cell r="C3">
            <v>2.0466990863308599E-2</v>
          </cell>
        </row>
        <row r="4">
          <cell r="B4">
            <v>814</v>
          </cell>
          <cell r="C4">
            <v>8.6372671380760394E-2</v>
          </cell>
        </row>
        <row r="5">
          <cell r="B5">
            <v>815</v>
          </cell>
          <cell r="C5">
            <v>8.3188035378965103E-2</v>
          </cell>
        </row>
        <row r="6">
          <cell r="B6">
            <v>893</v>
          </cell>
          <cell r="C6">
            <v>0.101774524080032</v>
          </cell>
        </row>
        <row r="7">
          <cell r="B7">
            <v>915</v>
          </cell>
          <cell r="C7">
            <v>9.3460437603576502E-2</v>
          </cell>
        </row>
        <row r="8">
          <cell r="B8">
            <v>932</v>
          </cell>
          <cell r="C8">
            <v>0.102718397290001</v>
          </cell>
        </row>
        <row r="9">
          <cell r="B9">
            <v>942</v>
          </cell>
          <cell r="C9">
            <v>8.9241757878996297E-2</v>
          </cell>
        </row>
        <row r="10">
          <cell r="B10">
            <v>821</v>
          </cell>
          <cell r="C10">
            <v>7.6407640945364397E-2</v>
          </cell>
        </row>
        <row r="11">
          <cell r="B11">
            <v>823</v>
          </cell>
          <cell r="C11">
            <v>8.4343041287129897E-2</v>
          </cell>
        </row>
        <row r="12">
          <cell r="B12">
            <v>825</v>
          </cell>
          <cell r="C12">
            <v>7.93320536690479E-2</v>
          </cell>
        </row>
        <row r="13">
          <cell r="B13">
            <v>831</v>
          </cell>
          <cell r="C13">
            <v>7.69640001151779E-2</v>
          </cell>
        </row>
        <row r="14">
          <cell r="B14">
            <v>834</v>
          </cell>
          <cell r="C14">
            <v>8.5998376308456706E-2</v>
          </cell>
        </row>
        <row r="15">
          <cell r="B15">
            <v>848</v>
          </cell>
          <cell r="C15">
            <v>8.5170275855563499E-2</v>
          </cell>
        </row>
        <row r="16">
          <cell r="B16">
            <v>849</v>
          </cell>
          <cell r="C16">
            <v>8.8206709762868499E-2</v>
          </cell>
        </row>
        <row r="17">
          <cell r="B17">
            <v>857</v>
          </cell>
          <cell r="C17">
            <v>8.6182117906717703E-2</v>
          </cell>
        </row>
        <row r="18">
          <cell r="B18">
            <v>858</v>
          </cell>
          <cell r="C18">
            <v>8.1092191325955895E-2</v>
          </cell>
        </row>
        <row r="19">
          <cell r="B19">
            <v>860</v>
          </cell>
          <cell r="C19">
            <v>8.1162503995254404E-2</v>
          </cell>
        </row>
        <row r="20">
          <cell r="B20">
            <v>878</v>
          </cell>
          <cell r="C20">
            <v>7.8914186273168901E-2</v>
          </cell>
        </row>
        <row r="21">
          <cell r="B21">
            <v>879</v>
          </cell>
          <cell r="C21">
            <v>7.6807686363118896E-2</v>
          </cell>
        </row>
        <row r="22">
          <cell r="B22">
            <v>884</v>
          </cell>
          <cell r="C22">
            <v>9.4047984726505399E-2</v>
          </cell>
        </row>
        <row r="23">
          <cell r="B23">
            <v>904</v>
          </cell>
          <cell r="C23">
            <v>7.6308427114358798E-2</v>
          </cell>
        </row>
        <row r="24">
          <cell r="B24">
            <v>906</v>
          </cell>
          <cell r="C24">
            <v>8.9335412551551793E-2</v>
          </cell>
        </row>
        <row r="25">
          <cell r="B25">
            <v>918</v>
          </cell>
          <cell r="C25">
            <v>7.5860104058758607E-2</v>
          </cell>
        </row>
        <row r="26">
          <cell r="B26">
            <v>931</v>
          </cell>
          <cell r="C26">
            <v>9.1632001025956505E-2</v>
          </cell>
        </row>
        <row r="27">
          <cell r="B27">
            <v>939</v>
          </cell>
          <cell r="C27">
            <v>0.10081641182348999</v>
          </cell>
        </row>
        <row r="28">
          <cell r="B28">
            <v>822</v>
          </cell>
          <cell r="C28">
            <v>8.7609462008695904E-2</v>
          </cell>
        </row>
        <row r="29">
          <cell r="B29">
            <v>829</v>
          </cell>
          <cell r="C29">
            <v>7.6810602864911606E-2</v>
          </cell>
        </row>
        <row r="30">
          <cell r="B30">
            <v>833</v>
          </cell>
          <cell r="C30">
            <v>9.1407855884813996E-2</v>
          </cell>
        </row>
        <row r="31">
          <cell r="B31">
            <v>837</v>
          </cell>
          <cell r="C31">
            <v>8.7771668380641599E-2</v>
          </cell>
        </row>
        <row r="32">
          <cell r="B32">
            <v>845</v>
          </cell>
          <cell r="C32">
            <v>9.1154761136304593E-2</v>
          </cell>
        </row>
        <row r="33">
          <cell r="B33">
            <v>855</v>
          </cell>
          <cell r="C33">
            <v>7.9846299309570296E-2</v>
          </cell>
        </row>
        <row r="34">
          <cell r="B34">
            <v>859</v>
          </cell>
          <cell r="C34">
            <v>0.47349830178226399</v>
          </cell>
        </row>
        <row r="35">
          <cell r="B35">
            <v>864</v>
          </cell>
          <cell r="C35">
            <v>8.9724349199762202E-2</v>
          </cell>
        </row>
        <row r="36">
          <cell r="B36">
            <v>867</v>
          </cell>
          <cell r="C36">
            <v>9.8601803794156104E-2</v>
          </cell>
        </row>
        <row r="37">
          <cell r="B37">
            <v>868</v>
          </cell>
          <cell r="C37">
            <v>7.9537456914692398E-2</v>
          </cell>
        </row>
        <row r="38">
          <cell r="B38">
            <v>882</v>
          </cell>
          <cell r="C38">
            <v>9.1906531022120402E-2</v>
          </cell>
        </row>
        <row r="39">
          <cell r="B39">
            <v>883</v>
          </cell>
          <cell r="C39">
            <v>9.0055094015433407E-2</v>
          </cell>
        </row>
        <row r="40">
          <cell r="B40">
            <v>890</v>
          </cell>
          <cell r="C40">
            <v>7.9461484952729297E-2</v>
          </cell>
        </row>
        <row r="41">
          <cell r="B41">
            <v>894</v>
          </cell>
          <cell r="C41">
            <v>0.101054238519177</v>
          </cell>
        </row>
        <row r="42">
          <cell r="B42">
            <v>895</v>
          </cell>
          <cell r="C42">
            <v>0.102815231836015</v>
          </cell>
        </row>
        <row r="43">
          <cell r="B43">
            <v>899</v>
          </cell>
          <cell r="C43">
            <v>0.101420702043029</v>
          </cell>
        </row>
        <row r="44">
          <cell r="B44">
            <v>901</v>
          </cell>
          <cell r="C44">
            <v>9.1887283225230001E-2</v>
          </cell>
        </row>
        <row r="45">
          <cell r="B45">
            <v>916</v>
          </cell>
          <cell r="C45">
            <v>8.4726913020510802E-2</v>
          </cell>
        </row>
        <row r="46">
          <cell r="B46">
            <v>921</v>
          </cell>
          <cell r="C46">
            <v>7.1998164576325199E-2</v>
          </cell>
        </row>
        <row r="47">
          <cell r="B47">
            <v>937</v>
          </cell>
          <cell r="C47">
            <v>9.2567642587682894E-2</v>
          </cell>
        </row>
        <row r="48">
          <cell r="B48"/>
          <cell r="C48"/>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q9IjuOCxJUaRlXKbl0LU_Ph5I_EfAHhFnZ_Xu1nb5fK_2vcCipt6Tr0lFZ4w44X0" itemId="01LPTIXLUHKNYZYMVYXRF2RKMMQ5QOA65N">
      <xxl21:absoluteUrl r:id="rId2"/>
    </xxl21:alternateUrls>
    <sheetNames>
      <sheetName val="ind_metrics"/>
    </sheetNames>
    <sheetDataSet>
      <sheetData sheetId="0">
        <row r="1">
          <cell r="B1" t="str">
            <v>degree</v>
          </cell>
          <cell r="C1" t="str">
            <v>modularity</v>
          </cell>
          <cell r="D1" t="str">
            <v>strength</v>
          </cell>
        </row>
        <row r="2">
          <cell r="A2">
            <v>801</v>
          </cell>
          <cell r="B2">
            <v>71.093525179856101</v>
          </cell>
          <cell r="C2">
            <v>0.10926360726682099</v>
          </cell>
          <cell r="D2">
            <v>13.665394179412401</v>
          </cell>
        </row>
        <row r="3">
          <cell r="A3">
            <v>814</v>
          </cell>
          <cell r="B3">
            <v>71.625899280575496</v>
          </cell>
          <cell r="C3">
            <v>6.8115336246055494E-2</v>
          </cell>
          <cell r="D3">
            <v>12.6640389531529</v>
          </cell>
        </row>
        <row r="4">
          <cell r="A4">
            <v>815</v>
          </cell>
          <cell r="B4">
            <v>68.964028776978395</v>
          </cell>
          <cell r="C4">
            <v>0.10676679675211399</v>
          </cell>
          <cell r="D4">
            <v>12.397957797067599</v>
          </cell>
        </row>
        <row r="5">
          <cell r="A5">
            <v>893</v>
          </cell>
          <cell r="B5">
            <v>75.079136690647502</v>
          </cell>
          <cell r="C5">
            <v>0.104613882628475</v>
          </cell>
          <cell r="D5">
            <v>14.9445741806058</v>
          </cell>
        </row>
        <row r="6">
          <cell r="A6">
            <v>915</v>
          </cell>
          <cell r="B6">
            <v>73.223021582733793</v>
          </cell>
          <cell r="C6">
            <v>8.3990699485105402E-2</v>
          </cell>
          <cell r="D6">
            <v>13.9910008268971</v>
          </cell>
        </row>
        <row r="7">
          <cell r="A7">
            <v>932</v>
          </cell>
          <cell r="B7">
            <v>70.690647482014398</v>
          </cell>
          <cell r="C7">
            <v>0.122501317344758</v>
          </cell>
          <cell r="D7">
            <v>15.2778572233101</v>
          </cell>
        </row>
        <row r="8">
          <cell r="A8">
            <v>942</v>
          </cell>
          <cell r="B8">
            <v>68.330935251798607</v>
          </cell>
          <cell r="C8">
            <v>0.11382157079672001</v>
          </cell>
          <cell r="D8">
            <v>12.8768581223277</v>
          </cell>
        </row>
        <row r="9">
          <cell r="A9">
            <v>821</v>
          </cell>
          <cell r="B9">
            <v>74.201438848920901</v>
          </cell>
          <cell r="C9">
            <v>6.8448506314183699E-2</v>
          </cell>
          <cell r="D9">
            <v>11.6206620914057</v>
          </cell>
        </row>
        <row r="10">
          <cell r="A10">
            <v>823</v>
          </cell>
          <cell r="B10">
            <v>70.028776978417298</v>
          </cell>
          <cell r="C10">
            <v>0.101419771257551</v>
          </cell>
          <cell r="D10">
            <v>12.7236827389111</v>
          </cell>
        </row>
        <row r="11">
          <cell r="A11">
            <v>825</v>
          </cell>
          <cell r="B11">
            <v>71.697841726618705</v>
          </cell>
          <cell r="C11">
            <v>9.1179748250211703E-2</v>
          </cell>
          <cell r="D11">
            <v>12.027155459997701</v>
          </cell>
        </row>
        <row r="12">
          <cell r="A12">
            <v>831</v>
          </cell>
          <cell r="B12">
            <v>71.381294964028797</v>
          </cell>
          <cell r="C12">
            <v>7.7182247289795697E-2</v>
          </cell>
          <cell r="D12">
            <v>11.5451754114645</v>
          </cell>
        </row>
        <row r="13">
          <cell r="A13">
            <v>834</v>
          </cell>
          <cell r="B13">
            <v>72.273381294963997</v>
          </cell>
          <cell r="C13">
            <v>0.111172421315463</v>
          </cell>
          <cell r="D13">
            <v>12.9537743068755</v>
          </cell>
        </row>
        <row r="14">
          <cell r="A14">
            <v>848</v>
          </cell>
          <cell r="B14">
            <v>71.683453237410106</v>
          </cell>
          <cell r="C14">
            <v>8.6805212534695406E-2</v>
          </cell>
          <cell r="D14">
            <v>12.501663655286199</v>
          </cell>
        </row>
        <row r="15">
          <cell r="A15">
            <v>849</v>
          </cell>
          <cell r="B15">
            <v>71.568345323740999</v>
          </cell>
          <cell r="C15">
            <v>0.107372632017007</v>
          </cell>
          <cell r="D15">
            <v>13.2607326570387</v>
          </cell>
        </row>
        <row r="16">
          <cell r="A16">
            <v>857</v>
          </cell>
          <cell r="B16">
            <v>76.633093525179902</v>
          </cell>
          <cell r="C16">
            <v>5.1060509317472601E-2</v>
          </cell>
          <cell r="D16">
            <v>12.979314389033799</v>
          </cell>
        </row>
        <row r="17">
          <cell r="A17">
            <v>858</v>
          </cell>
          <cell r="B17">
            <v>74.374100719424504</v>
          </cell>
          <cell r="C17">
            <v>7.1288232925418402E-2</v>
          </cell>
          <cell r="D17">
            <v>11.7922622110709</v>
          </cell>
        </row>
        <row r="18">
          <cell r="A18">
            <v>860</v>
          </cell>
          <cell r="B18">
            <v>73.669064748201393</v>
          </cell>
          <cell r="C18">
            <v>7.5277481079101496E-2</v>
          </cell>
          <cell r="D18">
            <v>11.801619866246099</v>
          </cell>
        </row>
        <row r="19">
          <cell r="A19">
            <v>878</v>
          </cell>
          <cell r="B19">
            <v>69.726618705036003</v>
          </cell>
          <cell r="C19">
            <v>0.10325265388152401</v>
          </cell>
          <cell r="D19">
            <v>11.8123789753417</v>
          </cell>
        </row>
        <row r="20">
          <cell r="A20">
            <v>879</v>
          </cell>
          <cell r="B20">
            <v>73.525179856115102</v>
          </cell>
          <cell r="C20">
            <v>8.1606649790710098E-2</v>
          </cell>
          <cell r="D20">
            <v>11.6762684044735</v>
          </cell>
        </row>
        <row r="21">
          <cell r="A21">
            <v>884</v>
          </cell>
          <cell r="B21">
            <v>69.223021582733793</v>
          </cell>
          <cell r="C21">
            <v>8.8590046514429199E-2</v>
          </cell>
          <cell r="D21">
            <v>13.8859271159446</v>
          </cell>
        </row>
        <row r="22">
          <cell r="A22">
            <v>904</v>
          </cell>
          <cell r="B22">
            <v>69.726618705036003</v>
          </cell>
          <cell r="C22">
            <v>9.1685851591800899E-2</v>
          </cell>
          <cell r="D22">
            <v>11.4553524776472</v>
          </cell>
        </row>
        <row r="23">
          <cell r="A23">
            <v>906</v>
          </cell>
          <cell r="B23">
            <v>72.287769784172696</v>
          </cell>
          <cell r="C23">
            <v>9.2182187125999002E-2</v>
          </cell>
          <cell r="D23">
            <v>13.4176223446657</v>
          </cell>
        </row>
        <row r="24">
          <cell r="A24">
            <v>918</v>
          </cell>
          <cell r="B24">
            <v>73.208633093525194</v>
          </cell>
          <cell r="C24">
            <v>6.4677381698459296E-2</v>
          </cell>
          <cell r="D24">
            <v>11.544554464167399</v>
          </cell>
        </row>
        <row r="25">
          <cell r="A25">
            <v>931</v>
          </cell>
          <cell r="B25">
            <v>71.956834532374103</v>
          </cell>
          <cell r="C25">
            <v>0.1071065530945</v>
          </cell>
          <cell r="D25">
            <v>13.736848142608</v>
          </cell>
        </row>
        <row r="26">
          <cell r="A26">
            <v>939</v>
          </cell>
          <cell r="B26">
            <v>71.223021582733793</v>
          </cell>
          <cell r="C26">
            <v>0.16172586470768299</v>
          </cell>
          <cell r="D26">
            <v>15.013481243465201</v>
          </cell>
        </row>
        <row r="27">
          <cell r="A27">
            <v>822</v>
          </cell>
          <cell r="B27">
            <v>75.712230215827304</v>
          </cell>
          <cell r="C27">
            <v>9.5405665225064801E-2</v>
          </cell>
          <cell r="D27">
            <v>13.1777152192087</v>
          </cell>
        </row>
        <row r="28">
          <cell r="A28">
            <v>829</v>
          </cell>
          <cell r="B28">
            <v>71.928057553956805</v>
          </cell>
          <cell r="C28">
            <v>5.8134891631256798E-2</v>
          </cell>
          <cell r="D28">
            <v>11.6766737982227</v>
          </cell>
        </row>
        <row r="29">
          <cell r="A29">
            <v>833</v>
          </cell>
          <cell r="B29">
            <v>72.115107913669107</v>
          </cell>
          <cell r="C29">
            <v>8.9760890701900395E-2</v>
          </cell>
          <cell r="D29">
            <v>13.3440062072938</v>
          </cell>
        </row>
        <row r="30">
          <cell r="A30">
            <v>837</v>
          </cell>
          <cell r="B30">
            <v>71.510791366906503</v>
          </cell>
          <cell r="C30">
            <v>0.10621766818213101</v>
          </cell>
          <cell r="D30">
            <v>13.200261904909199</v>
          </cell>
        </row>
        <row r="31">
          <cell r="A31">
            <v>845</v>
          </cell>
          <cell r="B31">
            <v>74.2302158273381</v>
          </cell>
          <cell r="C31">
            <v>6.7861109563337005E-2</v>
          </cell>
          <cell r="D31">
            <v>13.3098274912919</v>
          </cell>
        </row>
        <row r="32">
          <cell r="A32">
            <v>855</v>
          </cell>
          <cell r="B32">
            <v>81.021582733812906</v>
          </cell>
          <cell r="C32">
            <v>6.2382000015705798E-2</v>
          </cell>
          <cell r="D32">
            <v>11.317405625174001</v>
          </cell>
        </row>
        <row r="33">
          <cell r="A33">
            <v>859</v>
          </cell>
          <cell r="B33">
            <v>131.597122302158</v>
          </cell>
          <cell r="C33">
            <v>7.2123363208373096E-3</v>
          </cell>
          <cell r="D33">
            <v>66.816263947734697</v>
          </cell>
        </row>
        <row r="34">
          <cell r="A34">
            <v>864</v>
          </cell>
          <cell r="B34">
            <v>75.5539568345324</v>
          </cell>
          <cell r="C34">
            <v>0.102169981424945</v>
          </cell>
          <cell r="D34">
            <v>12.9410844305496</v>
          </cell>
        </row>
        <row r="35">
          <cell r="A35">
            <v>867</v>
          </cell>
          <cell r="B35">
            <v>74.028776978417298</v>
          </cell>
          <cell r="C35">
            <v>0.111768641372973</v>
          </cell>
          <cell r="D35">
            <v>14.705650727387701</v>
          </cell>
        </row>
        <row r="36">
          <cell r="A36">
            <v>868</v>
          </cell>
          <cell r="B36">
            <v>79.381294964028797</v>
          </cell>
          <cell r="C36">
            <v>6.7503942286055704E-2</v>
          </cell>
          <cell r="D36">
            <v>11.5853483126971</v>
          </cell>
        </row>
        <row r="37">
          <cell r="A37">
            <v>882</v>
          </cell>
          <cell r="B37">
            <v>71.064748201438803</v>
          </cell>
          <cell r="C37">
            <v>0.101310968507019</v>
          </cell>
          <cell r="D37">
            <v>13.775007812074699</v>
          </cell>
        </row>
        <row r="38">
          <cell r="A38">
            <v>883</v>
          </cell>
          <cell r="B38">
            <v>78.100719424460394</v>
          </cell>
          <cell r="C38">
            <v>7.2192536964097304E-2</v>
          </cell>
          <cell r="D38">
            <v>12.6365434792173</v>
          </cell>
        </row>
        <row r="39">
          <cell r="A39">
            <v>890</v>
          </cell>
          <cell r="B39">
            <v>72.589928057554005</v>
          </cell>
          <cell r="C39">
            <v>8.3379161383033307E-2</v>
          </cell>
          <cell r="D39">
            <v>11.8873667692427</v>
          </cell>
        </row>
        <row r="40">
          <cell r="A40">
            <v>894</v>
          </cell>
          <cell r="B40">
            <v>71.525179856115102</v>
          </cell>
          <cell r="C40">
            <v>0.130026392060068</v>
          </cell>
          <cell r="D40">
            <v>14.448937829973101</v>
          </cell>
        </row>
        <row r="41">
          <cell r="A41">
            <v>895</v>
          </cell>
          <cell r="B41">
            <v>76.532374100719395</v>
          </cell>
          <cell r="C41">
            <v>0.108701345950151</v>
          </cell>
          <cell r="D41">
            <v>15.087166117387801</v>
          </cell>
        </row>
        <row r="42">
          <cell r="A42">
            <v>899</v>
          </cell>
          <cell r="B42">
            <v>74.043165467625897</v>
          </cell>
          <cell r="C42">
            <v>0.112022265056616</v>
          </cell>
          <cell r="D42">
            <v>15.097477583981</v>
          </cell>
        </row>
        <row r="43">
          <cell r="A43">
            <v>901</v>
          </cell>
          <cell r="B43">
            <v>72.805755395683406</v>
          </cell>
          <cell r="C43">
            <v>9.9759857988720405E-2</v>
          </cell>
          <cell r="D43">
            <v>13.772332368307</v>
          </cell>
        </row>
        <row r="44">
          <cell r="A44">
            <v>916</v>
          </cell>
          <cell r="B44">
            <v>73.424460431654694</v>
          </cell>
          <cell r="C44">
            <v>7.8604747684664397E-2</v>
          </cell>
          <cell r="D44">
            <v>12.6088061760837</v>
          </cell>
        </row>
        <row r="45">
          <cell r="A45">
            <v>921</v>
          </cell>
          <cell r="B45">
            <v>78.561151079136707</v>
          </cell>
          <cell r="C45">
            <v>6.7532286089978397E-2</v>
          </cell>
          <cell r="D45">
            <v>10.1655217422883</v>
          </cell>
        </row>
        <row r="46">
          <cell r="A46">
            <v>937</v>
          </cell>
          <cell r="B46">
            <v>75.021582733812906</v>
          </cell>
          <cell r="C46">
            <v>8.8726903563905196E-2</v>
          </cell>
          <cell r="D46">
            <v>13.683098943039001</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C8E91-92F6-48B7-9638-9F3C64CF3335}">
  <dimension ref="A1:N55"/>
  <sheetViews>
    <sheetView tabSelected="1" topLeftCell="A18" workbookViewId="0">
      <selection activeCell="F50" sqref="F50"/>
    </sheetView>
  </sheetViews>
  <sheetFormatPr defaultColWidth="9.140625" defaultRowHeight="14.1"/>
  <cols>
    <col min="1" max="1" width="6.28515625" style="29" customWidth="1"/>
    <col min="2" max="2" width="4.140625" style="29" customWidth="1"/>
    <col min="3" max="4" width="9.5703125" style="29" customWidth="1"/>
    <col min="5" max="5" width="6.42578125" style="29" customWidth="1"/>
    <col min="6" max="6" width="5.7109375" style="29" customWidth="1"/>
    <col min="7" max="10" width="5" style="29" customWidth="1"/>
    <col min="11" max="12" width="7.140625" style="29" customWidth="1"/>
    <col min="13" max="13" width="9.140625" style="29" customWidth="1"/>
    <col min="14" max="14" width="7.140625" style="29" customWidth="1"/>
    <col min="15" max="16384" width="9.140625" style="29"/>
  </cols>
  <sheetData>
    <row r="1" spans="1:14" ht="14.45" thickBot="1">
      <c r="A1" s="64"/>
      <c r="B1" s="35"/>
      <c r="C1" s="74" t="s">
        <v>0</v>
      </c>
      <c r="D1" s="75"/>
      <c r="E1" s="76" t="s">
        <v>1</v>
      </c>
      <c r="F1" s="77"/>
      <c r="G1" s="77"/>
      <c r="H1" s="77"/>
      <c r="I1" s="77"/>
      <c r="J1" s="78"/>
      <c r="K1" s="74" t="s">
        <v>2</v>
      </c>
      <c r="L1" s="79"/>
      <c r="M1" s="79"/>
      <c r="N1" s="75"/>
    </row>
    <row r="2" spans="1:14" ht="34.5" thickBot="1">
      <c r="A2" s="65" t="s">
        <v>3</v>
      </c>
      <c r="B2" s="36" t="s">
        <v>4</v>
      </c>
      <c r="C2" s="37" t="s">
        <v>5</v>
      </c>
      <c r="D2" s="38" t="s">
        <v>6</v>
      </c>
      <c r="E2" s="70" t="s">
        <v>7</v>
      </c>
      <c r="F2" s="70" t="s">
        <v>8</v>
      </c>
      <c r="G2" s="70" t="s">
        <v>9</v>
      </c>
      <c r="H2" s="70" t="s">
        <v>10</v>
      </c>
      <c r="I2" s="70" t="s">
        <v>11</v>
      </c>
      <c r="J2" s="70" t="s">
        <v>12</v>
      </c>
      <c r="K2" s="38" t="s">
        <v>13</v>
      </c>
      <c r="L2" s="37" t="s">
        <v>14</v>
      </c>
      <c r="M2" s="39" t="s">
        <v>15</v>
      </c>
      <c r="N2" s="40" t="s">
        <v>16</v>
      </c>
    </row>
    <row r="3" spans="1:14">
      <c r="A3" s="66">
        <v>801</v>
      </c>
      <c r="B3" s="41" t="s">
        <v>17</v>
      </c>
      <c r="C3" s="42">
        <v>0.144621</v>
      </c>
      <c r="D3" s="43">
        <v>1.051525</v>
      </c>
      <c r="E3" s="71">
        <v>15</v>
      </c>
      <c r="F3" s="71">
        <f>VLOOKUP(A3,'[1]AIM database for Grad Students '!$A:$GC,185,0)</f>
        <v>30</v>
      </c>
      <c r="G3" s="71">
        <f>VLOOKUP(A3,'[2]KM_45 participants'!$A:$BF,58,0)</f>
        <v>78</v>
      </c>
      <c r="H3" s="71">
        <f>VLOOKUP(A3,'[2]KM_45 participants'!$A:$W,21,0)</f>
        <v>46</v>
      </c>
      <c r="I3" s="71">
        <f>VLOOKUP(A3,'[2]KM_45 participants'!$A:$V,22,0)</f>
        <v>33</v>
      </c>
      <c r="J3" s="71">
        <f>VLOOKUP(A3,'[2]KM_45 participants'!$A:$W,23,0)</f>
        <v>79</v>
      </c>
      <c r="K3" s="35">
        <f>VLOOKUP(A3,[3]for_thesis!$B:$C,2,0)</f>
        <v>2.0466990863308599E-2</v>
      </c>
      <c r="L3" s="44">
        <f>VLOOKUP(A3,[4]ind_metrics!$A:$B,2,0)</f>
        <v>71.093525179856101</v>
      </c>
      <c r="M3" s="45">
        <f>VLOOKUP(A3,[4]ind_metrics!$A:$C,3,0)</f>
        <v>0.10926360726682099</v>
      </c>
      <c r="N3" s="46">
        <f>VLOOKUP(A3,[4]ind_metrics!$A:$D,4,0)</f>
        <v>13.665394179412401</v>
      </c>
    </row>
    <row r="4" spans="1:14">
      <c r="A4" s="67">
        <v>814</v>
      </c>
      <c r="B4" s="47" t="s">
        <v>17</v>
      </c>
      <c r="C4" s="48">
        <v>0.28454400000000002</v>
      </c>
      <c r="D4" s="49">
        <v>1.1166579999999999</v>
      </c>
      <c r="E4" s="30">
        <v>22</v>
      </c>
      <c r="F4" s="30">
        <f>VLOOKUP(A4,'[1]AIM database for Grad Students '!$A:$GC,185,0)</f>
        <v>31</v>
      </c>
      <c r="G4" s="30">
        <f>VLOOKUP(A4,'[2]KM_45 participants'!$A:$BF,58,0)</f>
        <v>83</v>
      </c>
      <c r="H4" s="30">
        <f>VLOOKUP(A4,'[2]KM_45 participants'!$A:$W,21,0)</f>
        <v>37</v>
      </c>
      <c r="I4" s="30">
        <f>VLOOKUP(A4,'[2]KM_45 participants'!$A:$V,22,0)</f>
        <v>21</v>
      </c>
      <c r="J4" s="30">
        <f>VLOOKUP(A4,'[2]KM_45 participants'!$A:$W,23,0)</f>
        <v>58</v>
      </c>
      <c r="K4" s="52">
        <f>VLOOKUP(A4,[3]for_thesis!$B:$C,2,0)</f>
        <v>8.6372671380760394E-2</v>
      </c>
      <c r="L4" s="50">
        <f>VLOOKUP(A4,[4]ind_metrics!$A:$B,2,0)</f>
        <v>71.625899280575496</v>
      </c>
      <c r="M4" s="51">
        <f>VLOOKUP(A4,[4]ind_metrics!$A:$C,3,0)</f>
        <v>6.8115336246055494E-2</v>
      </c>
      <c r="N4" s="53">
        <f>VLOOKUP(A4,[4]ind_metrics!$A:$D,4,0)</f>
        <v>12.6640389531529</v>
      </c>
    </row>
    <row r="5" spans="1:14">
      <c r="A5" s="67">
        <v>815</v>
      </c>
      <c r="B5" s="47" t="s">
        <v>17</v>
      </c>
      <c r="C5" s="48">
        <v>0.18037900000000001</v>
      </c>
      <c r="D5" s="49">
        <v>0.69195399999999996</v>
      </c>
      <c r="E5" s="30">
        <v>27</v>
      </c>
      <c r="F5" s="30">
        <f>VLOOKUP(A5,'[1]AIM database for Grad Students '!$A:$GC,185,0)</f>
        <v>37</v>
      </c>
      <c r="G5" s="30">
        <f>VLOOKUP(A5,'[2]KM_45 participants'!$A:$BF,58,0)</f>
        <v>81</v>
      </c>
      <c r="H5" s="30">
        <f>VLOOKUP(A5,'[2]KM_45 participants'!$A:$W,21,0)</f>
        <v>40</v>
      </c>
      <c r="I5" s="30">
        <f>VLOOKUP(A5,'[2]KM_45 participants'!$A:$V,22,0)</f>
        <v>33</v>
      </c>
      <c r="J5" s="30">
        <f>VLOOKUP(A5,'[2]KM_45 participants'!$A:$W,23,0)</f>
        <v>73</v>
      </c>
      <c r="K5" s="52">
        <f>VLOOKUP(A5,[3]for_thesis!$B:$C,2,0)</f>
        <v>8.3188035378965103E-2</v>
      </c>
      <c r="L5" s="50">
        <f>VLOOKUP(A5,[4]ind_metrics!$A:$B,2,0)</f>
        <v>68.964028776978395</v>
      </c>
      <c r="M5" s="51">
        <f>VLOOKUP(A5,[4]ind_metrics!$A:$C,3,0)</f>
        <v>0.10676679675211399</v>
      </c>
      <c r="N5" s="53">
        <f>VLOOKUP(A5,[4]ind_metrics!$A:$D,4,0)</f>
        <v>12.397957797067599</v>
      </c>
    </row>
    <row r="6" spans="1:14">
      <c r="A6" s="67">
        <v>821</v>
      </c>
      <c r="B6" s="47" t="s">
        <v>18</v>
      </c>
      <c r="C6" s="48">
        <v>9.3457999999999999E-2</v>
      </c>
      <c r="D6" s="49">
        <v>0.65911600000000004</v>
      </c>
      <c r="E6" s="30">
        <v>15</v>
      </c>
      <c r="F6" s="30">
        <f>VLOOKUP(A6,'[1]AIM database for Grad Students '!$A:$GC,185,0)</f>
        <v>31</v>
      </c>
      <c r="G6" s="30">
        <f>VLOOKUP(A6,'[2]KM_45 participants'!$A:$BF,58,0)</f>
        <v>72</v>
      </c>
      <c r="H6" s="30">
        <f>VLOOKUP(A6,'[2]KM_45 participants'!$A:$W,21,0)</f>
        <v>21</v>
      </c>
      <c r="I6" s="30">
        <f>VLOOKUP(A6,'[2]KM_45 participants'!$A:$V,22,0)</f>
        <v>32</v>
      </c>
      <c r="J6" s="30">
        <f>VLOOKUP(A6,'[2]KM_45 participants'!$A:$W,23,0)</f>
        <v>53</v>
      </c>
      <c r="K6" s="52">
        <f>VLOOKUP(A6,[3]for_thesis!$B:$C,2,0)</f>
        <v>7.6407640945364397E-2</v>
      </c>
      <c r="L6" s="50">
        <f>VLOOKUP(A6,[4]ind_metrics!$A:$B,2,0)</f>
        <v>74.201438848920901</v>
      </c>
      <c r="M6" s="51">
        <f>VLOOKUP(A6,[4]ind_metrics!$A:$C,3,0)</f>
        <v>6.8448506314183699E-2</v>
      </c>
      <c r="N6" s="53">
        <f>VLOOKUP(A6,[4]ind_metrics!$A:$D,4,0)</f>
        <v>11.6206620914057</v>
      </c>
    </row>
    <row r="7" spans="1:14">
      <c r="A7" s="67">
        <v>822</v>
      </c>
      <c r="B7" s="47" t="s">
        <v>19</v>
      </c>
      <c r="C7" s="48">
        <v>8.4567000000000003E-2</v>
      </c>
      <c r="D7" s="49">
        <v>0.61739999999999995</v>
      </c>
      <c r="E7" s="30">
        <v>0</v>
      </c>
      <c r="F7" s="30">
        <f>VLOOKUP(A7,'[1]AIM database for Grad Students '!$A:$GC,185,0)</f>
        <v>20</v>
      </c>
      <c r="G7" s="30">
        <f>VLOOKUP(A7,'[2]KM_45 participants'!$A:$BF,58,0)</f>
        <v>92</v>
      </c>
      <c r="H7" s="30">
        <f>VLOOKUP(A7,'[2]KM_45 participants'!$A:$W,21,0)</f>
        <v>44</v>
      </c>
      <c r="I7" s="30">
        <f>VLOOKUP(A7,'[2]KM_45 participants'!$A:$V,22,0)</f>
        <v>36</v>
      </c>
      <c r="J7" s="30">
        <f>VLOOKUP(A7,'[2]KM_45 participants'!$A:$W,23,0)</f>
        <v>80</v>
      </c>
      <c r="K7" s="52">
        <f>VLOOKUP(A7,[3]for_thesis!$B:$C,2,0)</f>
        <v>8.7609462008695904E-2</v>
      </c>
      <c r="L7" s="50">
        <f>VLOOKUP(A7,[4]ind_metrics!$A:$B,2,0)</f>
        <v>75.712230215827304</v>
      </c>
      <c r="M7" s="51">
        <f>VLOOKUP(A7,[4]ind_metrics!$A:$C,3,0)</f>
        <v>9.5405665225064801E-2</v>
      </c>
      <c r="N7" s="53">
        <f>VLOOKUP(A7,[4]ind_metrics!$A:$D,4,0)</f>
        <v>13.1777152192087</v>
      </c>
    </row>
    <row r="8" spans="1:14">
      <c r="A8" s="67">
        <v>823</v>
      </c>
      <c r="B8" s="47" t="s">
        <v>18</v>
      </c>
      <c r="C8" s="48">
        <v>0.17948900000000001</v>
      </c>
      <c r="D8" s="49">
        <v>0.38981300000000002</v>
      </c>
      <c r="E8" s="30">
        <v>17</v>
      </c>
      <c r="F8" s="30">
        <f>VLOOKUP(A8,'[1]AIM database for Grad Students '!$A:$GC,185,0)</f>
        <v>25</v>
      </c>
      <c r="G8" s="30">
        <f>VLOOKUP(A8,'[2]KM_45 participants'!$A:$BF,58,0)</f>
        <v>49</v>
      </c>
      <c r="H8" s="30">
        <f>VLOOKUP(A8,'[2]KM_45 participants'!$A:$W,21,0)</f>
        <v>31</v>
      </c>
      <c r="I8" s="30">
        <f>VLOOKUP(A8,'[2]KM_45 participants'!$A:$V,22,0)</f>
        <v>36</v>
      </c>
      <c r="J8" s="30">
        <f>VLOOKUP(A8,'[2]KM_45 participants'!$A:$W,23,0)</f>
        <v>67</v>
      </c>
      <c r="K8" s="52">
        <f>VLOOKUP(A8,[3]for_thesis!$B:$C,2,0)</f>
        <v>8.4343041287129897E-2</v>
      </c>
      <c r="L8" s="50">
        <f>VLOOKUP(A8,[4]ind_metrics!$A:$B,2,0)</f>
        <v>70.028776978417298</v>
      </c>
      <c r="M8" s="51">
        <f>VLOOKUP(A8,[4]ind_metrics!$A:$C,3,0)</f>
        <v>0.101419771257551</v>
      </c>
      <c r="N8" s="53">
        <f>VLOOKUP(A8,[4]ind_metrics!$A:$D,4,0)</f>
        <v>12.7236827389111</v>
      </c>
    </row>
    <row r="9" spans="1:14">
      <c r="A9" s="67">
        <v>825</v>
      </c>
      <c r="B9" s="47" t="s">
        <v>18</v>
      </c>
      <c r="C9" s="48">
        <v>0.26189099999999998</v>
      </c>
      <c r="D9" s="49">
        <v>0.65925299999999998</v>
      </c>
      <c r="E9" s="30">
        <v>24</v>
      </c>
      <c r="F9" s="30">
        <f>VLOOKUP(A9,'[1]AIM database for Grad Students '!$A:$GC,185,0)</f>
        <v>26</v>
      </c>
      <c r="G9" s="30">
        <f>VLOOKUP(A9,'[2]KM_45 participants'!$A:$BF,58,0)</f>
        <v>71</v>
      </c>
      <c r="H9" s="30">
        <f>VLOOKUP(A9,'[2]KM_45 participants'!$A:$W,21,0)</f>
        <v>48</v>
      </c>
      <c r="I9" s="30">
        <f>VLOOKUP(A9,'[2]KM_45 participants'!$A:$V,22,0)</f>
        <v>46</v>
      </c>
      <c r="J9" s="30">
        <f>VLOOKUP(A9,'[2]KM_45 participants'!$A:$W,23,0)</f>
        <v>94</v>
      </c>
      <c r="K9" s="52">
        <f>VLOOKUP(A9,[3]for_thesis!$B:$C,2,0)</f>
        <v>7.93320536690479E-2</v>
      </c>
      <c r="L9" s="50">
        <f>VLOOKUP(A9,[4]ind_metrics!$A:$B,2,0)</f>
        <v>71.697841726618705</v>
      </c>
      <c r="M9" s="51">
        <f>VLOOKUP(A9,[4]ind_metrics!$A:$C,3,0)</f>
        <v>9.1179748250211703E-2</v>
      </c>
      <c r="N9" s="53">
        <f>VLOOKUP(A9,[4]ind_metrics!$A:$D,4,0)</f>
        <v>12.027155459997701</v>
      </c>
    </row>
    <row r="10" spans="1:14">
      <c r="A10" s="67">
        <v>829</v>
      </c>
      <c r="B10" s="47" t="s">
        <v>19</v>
      </c>
      <c r="C10" s="48">
        <v>0.26822000000000001</v>
      </c>
      <c r="D10" s="49">
        <v>1.7277370000000001</v>
      </c>
      <c r="E10" s="30">
        <v>0</v>
      </c>
      <c r="F10" s="30">
        <f>VLOOKUP(A10,'[1]AIM database for Grad Students '!$A:$GC,185,0)</f>
        <v>18</v>
      </c>
      <c r="G10" s="30">
        <f>VLOOKUP(A10,'[2]KM_45 participants'!$A:$BF,58,0)</f>
        <v>101</v>
      </c>
      <c r="H10" s="30">
        <f>VLOOKUP(A10,'[2]KM_45 participants'!$A:$W,21,0)</f>
        <v>41</v>
      </c>
      <c r="I10" s="30">
        <f>VLOOKUP(A10,'[2]KM_45 participants'!$A:$V,22,0)</f>
        <v>41</v>
      </c>
      <c r="J10" s="30">
        <f>VLOOKUP(A10,'[2]KM_45 participants'!$A:$W,23,0)</f>
        <v>82</v>
      </c>
      <c r="K10" s="52">
        <f>VLOOKUP(A10,[3]for_thesis!$B:$C,2,0)</f>
        <v>7.6810602864911606E-2</v>
      </c>
      <c r="L10" s="50">
        <f>VLOOKUP(A10,[4]ind_metrics!$A:$B,2,0)</f>
        <v>71.928057553956805</v>
      </c>
      <c r="M10" s="51">
        <f>VLOOKUP(A10,[4]ind_metrics!$A:$C,3,0)</f>
        <v>5.8134891631256798E-2</v>
      </c>
      <c r="N10" s="53">
        <f>VLOOKUP(A10,[4]ind_metrics!$A:$D,4,0)</f>
        <v>11.6766737982227</v>
      </c>
    </row>
    <row r="11" spans="1:14">
      <c r="A11" s="67">
        <v>831</v>
      </c>
      <c r="B11" s="47" t="s">
        <v>18</v>
      </c>
      <c r="C11" s="48">
        <v>0.119731</v>
      </c>
      <c r="D11" s="49">
        <v>0.68411299999999997</v>
      </c>
      <c r="E11" s="30">
        <v>22</v>
      </c>
      <c r="F11" s="30">
        <f>VLOOKUP(A11,'[1]AIM database for Grad Students '!$A:$GC,185,0)</f>
        <v>43</v>
      </c>
      <c r="G11" s="30">
        <f>VLOOKUP(A11,'[2]KM_45 participants'!$A:$BF,58,0)</f>
        <v>38</v>
      </c>
      <c r="H11" s="30">
        <f>VLOOKUP(A11,'[2]KM_45 participants'!$A:$W,21,0)</f>
        <v>20</v>
      </c>
      <c r="I11" s="30">
        <f>VLOOKUP(A11,'[2]KM_45 participants'!$A:$V,22,0)</f>
        <v>24</v>
      </c>
      <c r="J11" s="30">
        <f>VLOOKUP(A11,'[2]KM_45 participants'!$A:$W,23,0)</f>
        <v>44</v>
      </c>
      <c r="K11" s="52">
        <f>VLOOKUP(A11,[3]for_thesis!$B:$C,2,0)</f>
        <v>7.69640001151779E-2</v>
      </c>
      <c r="L11" s="50">
        <f>VLOOKUP(A11,[4]ind_metrics!$A:$B,2,0)</f>
        <v>71.381294964028797</v>
      </c>
      <c r="M11" s="51">
        <f>VLOOKUP(A11,[4]ind_metrics!$A:$C,3,0)</f>
        <v>7.7182247289795697E-2</v>
      </c>
      <c r="N11" s="53">
        <f>VLOOKUP(A11,[4]ind_metrics!$A:$D,4,0)</f>
        <v>11.5451754114645</v>
      </c>
    </row>
    <row r="12" spans="1:14">
      <c r="A12" s="67">
        <v>833</v>
      </c>
      <c r="B12" s="47" t="s">
        <v>19</v>
      </c>
      <c r="C12" s="48">
        <v>9.5763000000000001E-2</v>
      </c>
      <c r="D12" s="49">
        <v>0.459393</v>
      </c>
      <c r="E12" s="30">
        <v>0</v>
      </c>
      <c r="F12" s="30">
        <f>VLOOKUP(A12,'[1]AIM database for Grad Students '!$A:$GC,185,0)</f>
        <v>19</v>
      </c>
      <c r="G12" s="30">
        <f>VLOOKUP(A12,'[2]KM_45 participants'!$A:$BF,58,0)</f>
        <v>97</v>
      </c>
      <c r="H12" s="30">
        <f>VLOOKUP(A12,'[2]KM_45 participants'!$A:$W,21,0)</f>
        <v>39</v>
      </c>
      <c r="I12" s="30">
        <f>VLOOKUP(A12,'[2]KM_45 participants'!$A:$V,22,0)</f>
        <v>40</v>
      </c>
      <c r="J12" s="30">
        <f>VLOOKUP(A12,'[2]KM_45 participants'!$A:$W,23,0)</f>
        <v>79</v>
      </c>
      <c r="K12" s="52">
        <f>VLOOKUP(A12,[3]for_thesis!$B:$C,2,0)</f>
        <v>9.1407855884813996E-2</v>
      </c>
      <c r="L12" s="50">
        <f>VLOOKUP(A12,[4]ind_metrics!$A:$B,2,0)</f>
        <v>72.115107913669107</v>
      </c>
      <c r="M12" s="51">
        <f>VLOOKUP(A12,[4]ind_metrics!$A:$C,3,0)</f>
        <v>8.9760890701900395E-2</v>
      </c>
      <c r="N12" s="53">
        <f>VLOOKUP(A12,[4]ind_metrics!$A:$D,4,0)</f>
        <v>13.3440062072938</v>
      </c>
    </row>
    <row r="13" spans="1:14">
      <c r="A13" s="67">
        <v>834</v>
      </c>
      <c r="B13" s="47" t="s">
        <v>18</v>
      </c>
      <c r="C13" s="48">
        <v>7.6672000000000004E-2</v>
      </c>
      <c r="D13" s="49">
        <v>0.34032099999999998</v>
      </c>
      <c r="E13" s="30">
        <v>30</v>
      </c>
      <c r="F13" s="30">
        <f>VLOOKUP(A13,'[1]AIM database for Grad Students '!$A:$GC,185,0)</f>
        <v>33</v>
      </c>
      <c r="G13" s="30">
        <f>VLOOKUP(A13,'[2]KM_45 participants'!$A:$BF,58,0)</f>
        <v>30</v>
      </c>
      <c r="H13" s="30">
        <f>VLOOKUP(A13,'[2]KM_45 participants'!$A:$W,21,0)</f>
        <v>24</v>
      </c>
      <c r="I13" s="30">
        <f>VLOOKUP(A13,'[2]KM_45 participants'!$A:$V,22,0)</f>
        <v>26</v>
      </c>
      <c r="J13" s="30">
        <f>VLOOKUP(A13,'[2]KM_45 participants'!$A:$W,23,0)</f>
        <v>50</v>
      </c>
      <c r="K13" s="52">
        <f>VLOOKUP(A13,[3]for_thesis!$B:$C,2,0)</f>
        <v>8.5998376308456706E-2</v>
      </c>
      <c r="L13" s="50">
        <f>VLOOKUP(A13,[4]ind_metrics!$A:$B,2,0)</f>
        <v>72.273381294963997</v>
      </c>
      <c r="M13" s="51">
        <f>VLOOKUP(A13,[4]ind_metrics!$A:$C,3,0)</f>
        <v>0.111172421315463</v>
      </c>
      <c r="N13" s="53">
        <f>VLOOKUP(A13,[4]ind_metrics!$A:$D,4,0)</f>
        <v>12.9537743068755</v>
      </c>
    </row>
    <row r="14" spans="1:14">
      <c r="A14" s="67">
        <v>837</v>
      </c>
      <c r="B14" s="47" t="s">
        <v>19</v>
      </c>
      <c r="C14" s="48">
        <v>0.110888</v>
      </c>
      <c r="D14" s="49">
        <v>0.71555400000000002</v>
      </c>
      <c r="E14" s="30">
        <v>0</v>
      </c>
      <c r="F14" s="30">
        <f>VLOOKUP(A14,'[1]AIM database for Grad Students '!$A:$GC,185,0)</f>
        <v>16</v>
      </c>
      <c r="G14" s="30">
        <f>VLOOKUP(A14,'[2]KM_45 participants'!$A:$BF,58,0)</f>
        <v>104</v>
      </c>
      <c r="H14" s="30">
        <f>VLOOKUP(A14,'[2]KM_45 participants'!$A:$W,21,0)</f>
        <v>46</v>
      </c>
      <c r="I14" s="30">
        <f>VLOOKUP(A14,'[2]KM_45 participants'!$A:$V,22,0)</f>
        <v>37</v>
      </c>
      <c r="J14" s="30">
        <f>VLOOKUP(A14,'[2]KM_45 participants'!$A:$W,23,0)</f>
        <v>83</v>
      </c>
      <c r="K14" s="52">
        <f>VLOOKUP(A14,[3]for_thesis!$B:$C,2,0)</f>
        <v>8.7771668380641599E-2</v>
      </c>
      <c r="L14" s="50">
        <f>VLOOKUP(A14,[4]ind_metrics!$A:$B,2,0)</f>
        <v>71.510791366906503</v>
      </c>
      <c r="M14" s="51">
        <f>VLOOKUP(A14,[4]ind_metrics!$A:$C,3,0)</f>
        <v>0.10621766818213101</v>
      </c>
      <c r="N14" s="53">
        <f>VLOOKUP(A14,[4]ind_metrics!$A:$D,4,0)</f>
        <v>13.200261904909199</v>
      </c>
    </row>
    <row r="15" spans="1:14">
      <c r="A15" s="67">
        <v>845</v>
      </c>
      <c r="B15" s="47" t="s">
        <v>19</v>
      </c>
      <c r="C15" s="48">
        <v>0.22664400000000001</v>
      </c>
      <c r="D15" s="49">
        <v>1.081434</v>
      </c>
      <c r="E15" s="30">
        <v>2</v>
      </c>
      <c r="F15" s="30">
        <f>VLOOKUP(A15,'[1]AIM database for Grad Students '!$A:$GC,185,0)</f>
        <v>19</v>
      </c>
      <c r="G15" s="30">
        <f>VLOOKUP(A15,'[2]KM_45 participants'!$A:$BF,58,0)</f>
        <v>104</v>
      </c>
      <c r="H15" s="30">
        <f>VLOOKUP(A15,'[2]KM_45 participants'!$A:$W,21,0)</f>
        <v>42</v>
      </c>
      <c r="I15" s="30">
        <f>VLOOKUP(A15,'[2]KM_45 participants'!$A:$V,22,0)</f>
        <v>36</v>
      </c>
      <c r="J15" s="30">
        <f>VLOOKUP(A15,'[2]KM_45 participants'!$A:$W,23,0)</f>
        <v>78</v>
      </c>
      <c r="K15" s="52">
        <f>VLOOKUP(A15,[3]for_thesis!$B:$C,2,0)</f>
        <v>9.1154761136304593E-2</v>
      </c>
      <c r="L15" s="50">
        <f>VLOOKUP(A15,[4]ind_metrics!$A:$B,2,0)</f>
        <v>74.2302158273381</v>
      </c>
      <c r="M15" s="51">
        <f>VLOOKUP(A15,[4]ind_metrics!$A:$C,3,0)</f>
        <v>6.7861109563337005E-2</v>
      </c>
      <c r="N15" s="53">
        <f>VLOOKUP(A15,[4]ind_metrics!$A:$D,4,0)</f>
        <v>13.3098274912919</v>
      </c>
    </row>
    <row r="16" spans="1:14">
      <c r="A16" s="67">
        <v>848</v>
      </c>
      <c r="B16" s="47" t="s">
        <v>18</v>
      </c>
      <c r="C16" s="48">
        <v>0.23744100000000001</v>
      </c>
      <c r="D16" s="49">
        <v>0.50683500000000004</v>
      </c>
      <c r="E16" s="30">
        <v>26</v>
      </c>
      <c r="F16" s="30">
        <f>VLOOKUP(A16,'[1]AIM database for Grad Students '!$A:$GC,185,0)</f>
        <v>33</v>
      </c>
      <c r="G16" s="30">
        <f>VLOOKUP(A16,'[2]KM_45 participants'!$A:$BF,58,0)</f>
        <v>22</v>
      </c>
      <c r="H16" s="30">
        <f>VLOOKUP(A16,'[2]KM_45 participants'!$A:$W,21,0)</f>
        <v>26</v>
      </c>
      <c r="I16" s="30">
        <f>VLOOKUP(A16,'[2]KM_45 participants'!$A:$V,22,0)</f>
        <v>25</v>
      </c>
      <c r="J16" s="30">
        <f>VLOOKUP(A16,'[2]KM_45 participants'!$A:$W,23,0)</f>
        <v>51</v>
      </c>
      <c r="K16" s="52">
        <f>VLOOKUP(A16,[3]for_thesis!$B:$C,2,0)</f>
        <v>8.5170275855563499E-2</v>
      </c>
      <c r="L16" s="50">
        <f>VLOOKUP(A16,[4]ind_metrics!$A:$B,2,0)</f>
        <v>71.683453237410106</v>
      </c>
      <c r="M16" s="51">
        <f>VLOOKUP(A16,[4]ind_metrics!$A:$C,3,0)</f>
        <v>8.6805212534695406E-2</v>
      </c>
      <c r="N16" s="53">
        <f>VLOOKUP(A16,[4]ind_metrics!$A:$D,4,0)</f>
        <v>12.501663655286199</v>
      </c>
    </row>
    <row r="17" spans="1:14">
      <c r="A17" s="67">
        <v>849</v>
      </c>
      <c r="B17" s="47" t="s">
        <v>18</v>
      </c>
      <c r="C17" s="48">
        <v>5.6493000000000002E-2</v>
      </c>
      <c r="D17" s="49">
        <v>0.31700200000000001</v>
      </c>
      <c r="E17" s="30">
        <v>30</v>
      </c>
      <c r="F17" s="30">
        <f>VLOOKUP(A17,'[1]AIM database for Grad Students '!$A:$GC,185,0)</f>
        <v>33</v>
      </c>
      <c r="G17" s="30">
        <f>VLOOKUP(A17,'[2]KM_45 participants'!$A:$BF,58,0)</f>
        <v>75</v>
      </c>
      <c r="H17" s="30">
        <f>VLOOKUP(A17,'[2]KM_45 participants'!$A:$W,21,0)</f>
        <v>40</v>
      </c>
      <c r="I17" s="30">
        <f>VLOOKUP(A17,'[2]KM_45 participants'!$A:$V,22,0)</f>
        <v>41</v>
      </c>
      <c r="J17" s="30">
        <f>VLOOKUP(A17,'[2]KM_45 participants'!$A:$W,23,0)</f>
        <v>81</v>
      </c>
      <c r="K17" s="52">
        <f>VLOOKUP(A17,[3]for_thesis!$B:$C,2,0)</f>
        <v>8.8206709762868499E-2</v>
      </c>
      <c r="L17" s="50">
        <f>VLOOKUP(A17,[4]ind_metrics!$A:$B,2,0)</f>
        <v>71.568345323740999</v>
      </c>
      <c r="M17" s="51">
        <f>VLOOKUP(A17,[4]ind_metrics!$A:$C,3,0)</f>
        <v>0.107372632017007</v>
      </c>
      <c r="N17" s="53">
        <f>VLOOKUP(A17,[4]ind_metrics!$A:$D,4,0)</f>
        <v>13.2607326570387</v>
      </c>
    </row>
    <row r="18" spans="1:14">
      <c r="A18" s="67">
        <v>855</v>
      </c>
      <c r="B18" s="47" t="s">
        <v>19</v>
      </c>
      <c r="C18" s="48">
        <v>0.27484799999999998</v>
      </c>
      <c r="D18" s="49">
        <v>1.2602549999999999</v>
      </c>
      <c r="E18" s="30">
        <v>3</v>
      </c>
      <c r="F18" s="30">
        <f>VLOOKUP(A18,'[1]AIM database for Grad Students '!$A:$GC,185,0)</f>
        <v>19</v>
      </c>
      <c r="G18" s="30">
        <f>VLOOKUP(A18,'[2]KM_45 participants'!$A:$BF,58,0)</f>
        <v>99</v>
      </c>
      <c r="H18" s="30">
        <f>VLOOKUP(A18,'[2]KM_45 participants'!$A:$W,21,0)</f>
        <v>39</v>
      </c>
      <c r="I18" s="30">
        <f>VLOOKUP(A18,'[2]KM_45 participants'!$A:$V,22,0)</f>
        <v>42</v>
      </c>
      <c r="J18" s="30">
        <f>VLOOKUP(A18,'[2]KM_45 participants'!$A:$W,23,0)</f>
        <v>81</v>
      </c>
      <c r="K18" s="52">
        <f>VLOOKUP(A18,[3]for_thesis!$B:$C,2,0)</f>
        <v>7.9846299309570296E-2</v>
      </c>
      <c r="L18" s="50">
        <f>VLOOKUP(A18,[4]ind_metrics!$A:$B,2,0)</f>
        <v>81.021582733812906</v>
      </c>
      <c r="M18" s="51">
        <f>VLOOKUP(A18,[4]ind_metrics!$A:$C,3,0)</f>
        <v>6.2382000015705798E-2</v>
      </c>
      <c r="N18" s="53">
        <f>VLOOKUP(A18,[4]ind_metrics!$A:$D,4,0)</f>
        <v>11.317405625174001</v>
      </c>
    </row>
    <row r="19" spans="1:14">
      <c r="A19" s="67">
        <v>857</v>
      </c>
      <c r="B19" s="47" t="s">
        <v>18</v>
      </c>
      <c r="C19" s="48">
        <v>0.21937000000000001</v>
      </c>
      <c r="D19" s="49">
        <v>0.64447900000000002</v>
      </c>
      <c r="E19" s="30">
        <v>17</v>
      </c>
      <c r="F19" s="30">
        <f>VLOOKUP(A19,'[1]AIM database for Grad Students '!$A:$GC,185,0)</f>
        <v>38</v>
      </c>
      <c r="G19" s="30">
        <f>VLOOKUP(A19,'[2]KM_45 participants'!$A:$BF,58,0)</f>
        <v>20</v>
      </c>
      <c r="H19" s="30">
        <f>VLOOKUP(A19,'[2]KM_45 participants'!$A:$W,21,0)</f>
        <v>32</v>
      </c>
      <c r="I19" s="30">
        <f>VLOOKUP(A19,'[2]KM_45 participants'!$A:$V,22,0)</f>
        <v>43</v>
      </c>
      <c r="J19" s="30">
        <f>VLOOKUP(A19,'[2]KM_45 participants'!$A:$W,23,0)</f>
        <v>75</v>
      </c>
      <c r="K19" s="52">
        <f>VLOOKUP(A19,[3]for_thesis!$B:$C,2,0)</f>
        <v>8.6182117906717703E-2</v>
      </c>
      <c r="L19" s="50">
        <f>VLOOKUP(A19,[4]ind_metrics!$A:$B,2,0)</f>
        <v>76.633093525179902</v>
      </c>
      <c r="M19" s="51">
        <f>VLOOKUP(A19,[4]ind_metrics!$A:$C,3,0)</f>
        <v>5.1060509317472601E-2</v>
      </c>
      <c r="N19" s="53">
        <f>VLOOKUP(A19,[4]ind_metrics!$A:$D,4,0)</f>
        <v>12.979314389033799</v>
      </c>
    </row>
    <row r="20" spans="1:14">
      <c r="A20" s="67">
        <v>858</v>
      </c>
      <c r="B20" s="47" t="s">
        <v>18</v>
      </c>
      <c r="C20" s="48">
        <v>0.27484799999999998</v>
      </c>
      <c r="D20" s="49">
        <v>1.2602549999999999</v>
      </c>
      <c r="E20" s="30">
        <v>23</v>
      </c>
      <c r="F20" s="30">
        <f>VLOOKUP(A20,'[1]AIM database for Grad Students '!$A:$GC,185,0)</f>
        <v>44</v>
      </c>
      <c r="G20" s="30">
        <f>VLOOKUP(A20,'[2]KM_45 participants'!$A:$BF,58,0)</f>
        <v>25</v>
      </c>
      <c r="H20" s="30">
        <f>VLOOKUP(A20,'[2]KM_45 participants'!$A:$W,21,0)</f>
        <v>33</v>
      </c>
      <c r="I20" s="30">
        <f>VLOOKUP(A20,'[2]KM_45 participants'!$A:$V,22,0)</f>
        <v>33</v>
      </c>
      <c r="J20" s="30">
        <f>VLOOKUP(A20,'[2]KM_45 participants'!$A:$W,23,0)</f>
        <v>66</v>
      </c>
      <c r="K20" s="52">
        <f>VLOOKUP(A20,[3]for_thesis!$B:$C,2,0)</f>
        <v>8.1092191325955895E-2</v>
      </c>
      <c r="L20" s="50">
        <f>VLOOKUP(A20,[4]ind_metrics!$A:$B,2,0)</f>
        <v>74.374100719424504</v>
      </c>
      <c r="M20" s="51">
        <f>VLOOKUP(A20,[4]ind_metrics!$A:$C,3,0)</f>
        <v>7.1288232925418402E-2</v>
      </c>
      <c r="N20" s="53">
        <f>VLOOKUP(A20,[4]ind_metrics!$A:$D,4,0)</f>
        <v>11.7922622110709</v>
      </c>
    </row>
    <row r="21" spans="1:14">
      <c r="A21" s="67">
        <v>859</v>
      </c>
      <c r="B21" s="47" t="s">
        <v>19</v>
      </c>
      <c r="C21" s="48">
        <v>7.7620999999999996E-2</v>
      </c>
      <c r="D21" s="49">
        <v>0.41135100000000002</v>
      </c>
      <c r="E21" s="30">
        <v>0</v>
      </c>
      <c r="F21" s="30">
        <f>VLOOKUP(A21,'[1]AIM database for Grad Students '!$A:$GC,185,0)</f>
        <v>14</v>
      </c>
      <c r="G21" s="30">
        <f>VLOOKUP(A21,'[2]KM_45 participants'!$A:$BF,58,0)</f>
        <v>99</v>
      </c>
      <c r="H21" s="30">
        <f>VLOOKUP(A21,'[2]KM_45 participants'!$A:$W,21,0)</f>
        <v>38</v>
      </c>
      <c r="I21" s="30">
        <f>VLOOKUP(A21,'[2]KM_45 participants'!$A:$V,22,0)</f>
        <v>34</v>
      </c>
      <c r="J21" s="30">
        <f>VLOOKUP(A21,'[2]KM_45 participants'!$A:$W,23,0)</f>
        <v>72</v>
      </c>
      <c r="K21" s="52">
        <f>VLOOKUP(A21,[3]for_thesis!$B:$C,2,0)</f>
        <v>0.47349830178226399</v>
      </c>
      <c r="L21" s="50">
        <f>VLOOKUP(A21,[4]ind_metrics!$A:$B,2,0)</f>
        <v>131.597122302158</v>
      </c>
      <c r="M21" s="51">
        <f>VLOOKUP(A21,[4]ind_metrics!$A:$C,3,0)</f>
        <v>7.2123363208373096E-3</v>
      </c>
      <c r="N21" s="53">
        <f>VLOOKUP(A21,[4]ind_metrics!$A:$D,4,0)</f>
        <v>66.816263947734697</v>
      </c>
    </row>
    <row r="22" spans="1:14">
      <c r="A22" s="67">
        <v>860</v>
      </c>
      <c r="B22" s="47" t="s">
        <v>18</v>
      </c>
      <c r="C22" s="48">
        <v>0.27484799999999998</v>
      </c>
      <c r="D22" s="49">
        <v>1.2602549999999999</v>
      </c>
      <c r="E22" s="30">
        <v>28</v>
      </c>
      <c r="F22" s="30">
        <f>VLOOKUP(A22,'[1]AIM database for Grad Students '!$A:$GC,185,0)</f>
        <v>29</v>
      </c>
      <c r="G22" s="30">
        <f>VLOOKUP(A22,'[2]KM_45 participants'!$A:$BF,58,0)</f>
        <v>41</v>
      </c>
      <c r="H22" s="30">
        <f>VLOOKUP(A22,'[2]KM_45 participants'!$A:$W,21,0)</f>
        <v>27</v>
      </c>
      <c r="I22" s="30">
        <f>VLOOKUP(A22,'[2]KM_45 participants'!$A:$V,22,0)</f>
        <v>40</v>
      </c>
      <c r="J22" s="30">
        <f>VLOOKUP(A22,'[2]KM_45 participants'!$A:$W,23,0)</f>
        <v>67</v>
      </c>
      <c r="K22" s="52">
        <f>VLOOKUP(A22,[3]for_thesis!$B:$C,2,0)</f>
        <v>8.1162503995254404E-2</v>
      </c>
      <c r="L22" s="50">
        <f>VLOOKUP(A22,[4]ind_metrics!$A:$B,2,0)</f>
        <v>73.669064748201393</v>
      </c>
      <c r="M22" s="51">
        <f>VLOOKUP(A22,[4]ind_metrics!$A:$C,3,0)</f>
        <v>7.5277481079101496E-2</v>
      </c>
      <c r="N22" s="53">
        <f>VLOOKUP(A22,[4]ind_metrics!$A:$D,4,0)</f>
        <v>11.801619866246099</v>
      </c>
    </row>
    <row r="23" spans="1:14">
      <c r="A23" s="67">
        <v>864</v>
      </c>
      <c r="B23" s="47" t="s">
        <v>19</v>
      </c>
      <c r="C23" s="48">
        <v>0.115324</v>
      </c>
      <c r="D23" s="49">
        <v>0.238621</v>
      </c>
      <c r="E23" s="30">
        <v>0</v>
      </c>
      <c r="F23" s="30">
        <f>VLOOKUP(A23,'[1]AIM database for Grad Students '!$A:$GC,185,0)</f>
        <v>17</v>
      </c>
      <c r="G23" s="30">
        <f>VLOOKUP(A23,'[2]KM_45 participants'!$A:$BF,58,0)</f>
        <v>97</v>
      </c>
      <c r="H23" s="30">
        <f>VLOOKUP(A23,'[2]KM_45 participants'!$A:$W,21,0)</f>
        <v>46</v>
      </c>
      <c r="I23" s="30">
        <f>VLOOKUP(A23,'[2]KM_45 participants'!$A:$V,22,0)</f>
        <v>37</v>
      </c>
      <c r="J23" s="30">
        <f>VLOOKUP(A23,'[2]KM_45 participants'!$A:$W,23,0)</f>
        <v>83</v>
      </c>
      <c r="K23" s="52">
        <f>VLOOKUP(A23,[3]for_thesis!$B:$C,2,0)</f>
        <v>8.9724349199762202E-2</v>
      </c>
      <c r="L23" s="50">
        <f>VLOOKUP(A23,[4]ind_metrics!$A:$B,2,0)</f>
        <v>75.5539568345324</v>
      </c>
      <c r="M23" s="51">
        <f>VLOOKUP(A23,[4]ind_metrics!$A:$C,3,0)</f>
        <v>0.102169981424945</v>
      </c>
      <c r="N23" s="53">
        <f>VLOOKUP(A23,[4]ind_metrics!$A:$D,4,0)</f>
        <v>12.9410844305496</v>
      </c>
    </row>
    <row r="24" spans="1:14">
      <c r="A24" s="67">
        <v>867</v>
      </c>
      <c r="B24" s="47" t="s">
        <v>19</v>
      </c>
      <c r="C24" s="48">
        <v>9.0104000000000004E-2</v>
      </c>
      <c r="D24" s="49">
        <v>0.83613499999999996</v>
      </c>
      <c r="E24" s="30">
        <v>0</v>
      </c>
      <c r="F24" s="30">
        <f>VLOOKUP(A24,'[1]AIM database for Grad Students '!$A:$GC,185,0)</f>
        <v>15</v>
      </c>
      <c r="G24" s="30">
        <f>VLOOKUP(A24,'[2]KM_45 participants'!$A:$BF,58,0)</f>
        <v>103</v>
      </c>
      <c r="H24" s="30">
        <f>VLOOKUP(A24,'[2]KM_45 participants'!$A:$W,21,0)</f>
        <v>29</v>
      </c>
      <c r="I24" s="30">
        <f>VLOOKUP(A24,'[2]KM_45 participants'!$A:$V,22,0)</f>
        <v>35</v>
      </c>
      <c r="J24" s="30">
        <f>VLOOKUP(A24,'[2]KM_45 participants'!$A:$W,23,0)</f>
        <v>64</v>
      </c>
      <c r="K24" s="52">
        <f>VLOOKUP(A24,[3]for_thesis!$B:$C,2,0)</f>
        <v>9.8601803794156104E-2</v>
      </c>
      <c r="L24" s="50">
        <f>VLOOKUP(A24,[4]ind_metrics!$A:$B,2,0)</f>
        <v>74.028776978417298</v>
      </c>
      <c r="M24" s="51">
        <f>VLOOKUP(A24,[4]ind_metrics!$A:$C,3,0)</f>
        <v>0.111768641372973</v>
      </c>
      <c r="N24" s="53">
        <f>VLOOKUP(A24,[4]ind_metrics!$A:$D,4,0)</f>
        <v>14.705650727387701</v>
      </c>
    </row>
    <row r="25" spans="1:14">
      <c r="A25" s="67">
        <v>868</v>
      </c>
      <c r="B25" s="47" t="s">
        <v>19</v>
      </c>
      <c r="C25" s="54">
        <v>0.27484799999999998</v>
      </c>
      <c r="D25" s="55">
        <v>1.2602549999999999</v>
      </c>
      <c r="E25" s="30">
        <v>1</v>
      </c>
      <c r="F25" s="30">
        <f>VLOOKUP(A25,'[1]AIM database for Grad Students '!$A:$GC,185,0)</f>
        <v>16</v>
      </c>
      <c r="G25" s="30">
        <f>VLOOKUP(A25,'[2]KM_45 participants'!$A:$BF,58,0)</f>
        <v>104</v>
      </c>
      <c r="H25" s="30">
        <f>VLOOKUP(A25,'[2]KM_45 participants'!$A:$W,21,0)</f>
        <v>48</v>
      </c>
      <c r="I25" s="30">
        <f>VLOOKUP(A25,'[2]KM_45 participants'!$A:$V,22,0)</f>
        <v>42</v>
      </c>
      <c r="J25" s="30">
        <f>VLOOKUP(A25,'[2]KM_45 participants'!$A:$W,23,0)</f>
        <v>90</v>
      </c>
      <c r="K25" s="52">
        <f>VLOOKUP(A25,[3]for_thesis!$B:$C,2,0)</f>
        <v>7.9537456914692398E-2</v>
      </c>
      <c r="L25" s="50">
        <f>VLOOKUP(A25,[4]ind_metrics!$A:$B,2,0)</f>
        <v>79.381294964028797</v>
      </c>
      <c r="M25" s="51">
        <f>VLOOKUP(A25,[4]ind_metrics!$A:$C,3,0)</f>
        <v>6.7503942286055704E-2</v>
      </c>
      <c r="N25" s="53">
        <f>VLOOKUP(A25,[4]ind_metrics!$A:$D,4,0)</f>
        <v>11.5853483126971</v>
      </c>
    </row>
    <row r="26" spans="1:14">
      <c r="A26" s="67">
        <v>878</v>
      </c>
      <c r="B26" s="47" t="s">
        <v>18</v>
      </c>
      <c r="C26" s="48">
        <v>0.22361500000000001</v>
      </c>
      <c r="D26" s="49">
        <v>0.67953799999999998</v>
      </c>
      <c r="E26" s="30">
        <v>10</v>
      </c>
      <c r="F26" s="30">
        <f>VLOOKUP(A26,'[1]AIM database for Grad Students '!$A:$GC,185,0)</f>
        <v>0</v>
      </c>
      <c r="G26" s="30">
        <f>VLOOKUP(A26,'[2]KM_45 participants'!$A:$BF,58,0)</f>
        <v>96</v>
      </c>
      <c r="H26" s="30">
        <f>VLOOKUP(A26,'[2]KM_45 participants'!$A:$W,21,0)</f>
        <v>32</v>
      </c>
      <c r="I26" s="30">
        <f>VLOOKUP(A26,'[2]KM_45 participants'!$A:$V,22,0)</f>
        <v>33</v>
      </c>
      <c r="J26" s="30">
        <f>VLOOKUP(A26,'[2]KM_45 participants'!$A:$W,23,0)</f>
        <v>65</v>
      </c>
      <c r="K26" s="52">
        <f>VLOOKUP(A26,[3]for_thesis!$B:$C,2,0)</f>
        <v>7.8914186273168901E-2</v>
      </c>
      <c r="L26" s="50">
        <f>VLOOKUP(A26,[4]ind_metrics!$A:$B,2,0)</f>
        <v>69.726618705036003</v>
      </c>
      <c r="M26" s="51">
        <f>VLOOKUP(A26,[4]ind_metrics!$A:$C,3,0)</f>
        <v>0.10325265388152401</v>
      </c>
      <c r="N26" s="53">
        <f>VLOOKUP(A26,[4]ind_metrics!$A:$D,4,0)</f>
        <v>11.8123789753417</v>
      </c>
    </row>
    <row r="27" spans="1:14">
      <c r="A27" s="67">
        <v>879</v>
      </c>
      <c r="B27" s="47" t="s">
        <v>18</v>
      </c>
      <c r="C27" s="48">
        <v>0.13429199999999999</v>
      </c>
      <c r="D27" s="49">
        <v>0.29713400000000001</v>
      </c>
      <c r="E27" s="30">
        <v>20</v>
      </c>
      <c r="F27" s="30">
        <f>VLOOKUP(A27,'[1]AIM database for Grad Students '!$A:$GC,185,0)</f>
        <v>30</v>
      </c>
      <c r="G27" s="30">
        <f>VLOOKUP(A27,'[2]KM_45 participants'!$A:$BF,58,0)</f>
        <v>63</v>
      </c>
      <c r="H27" s="30">
        <f>VLOOKUP(A27,'[2]KM_45 participants'!$A:$W,21,0)</f>
        <v>44</v>
      </c>
      <c r="I27" s="30">
        <f>VLOOKUP(A27,'[2]KM_45 participants'!$A:$V,22,0)</f>
        <v>33</v>
      </c>
      <c r="J27" s="30">
        <f>VLOOKUP(A27,'[2]KM_45 participants'!$A:$W,23,0)</f>
        <v>77</v>
      </c>
      <c r="K27" s="52">
        <f>VLOOKUP(A27,[3]for_thesis!$B:$C,2,0)</f>
        <v>7.6807686363118896E-2</v>
      </c>
      <c r="L27" s="50">
        <f>VLOOKUP(A27,[4]ind_metrics!$A:$B,2,0)</f>
        <v>73.525179856115102</v>
      </c>
      <c r="M27" s="51">
        <f>VLOOKUP(A27,[4]ind_metrics!$A:$C,3,0)</f>
        <v>8.1606649790710098E-2</v>
      </c>
      <c r="N27" s="53">
        <f>VLOOKUP(A27,[4]ind_metrics!$A:$D,4,0)</f>
        <v>11.6762684044735</v>
      </c>
    </row>
    <row r="28" spans="1:14">
      <c r="A28" s="67">
        <v>882</v>
      </c>
      <c r="B28" s="47" t="s">
        <v>19</v>
      </c>
      <c r="C28" s="48">
        <v>0.162412</v>
      </c>
      <c r="D28" s="49">
        <v>0.45156000000000002</v>
      </c>
      <c r="E28" s="30">
        <v>0</v>
      </c>
      <c r="F28" s="30">
        <f>VLOOKUP(A28,'[1]AIM database for Grad Students '!$A:$GC,185,0)</f>
        <v>19</v>
      </c>
      <c r="G28" s="30">
        <f>VLOOKUP(A28,'[2]KM_45 participants'!$A:$BF,58,0)</f>
        <v>96</v>
      </c>
      <c r="H28" s="30">
        <f>VLOOKUP(A28,'[2]KM_45 participants'!$A:$W,21,0)</f>
        <v>43</v>
      </c>
      <c r="I28" s="30">
        <f>VLOOKUP(A28,'[2]KM_45 participants'!$A:$V,22,0)</f>
        <v>41</v>
      </c>
      <c r="J28" s="30">
        <f>VLOOKUP(A28,'[2]KM_45 participants'!$A:$W,23,0)</f>
        <v>84</v>
      </c>
      <c r="K28" s="52">
        <f>VLOOKUP(A28,[3]for_thesis!$B:$C,2,0)</f>
        <v>9.1906531022120402E-2</v>
      </c>
      <c r="L28" s="50">
        <f>VLOOKUP(A28,[4]ind_metrics!$A:$B,2,0)</f>
        <v>71.064748201438803</v>
      </c>
      <c r="M28" s="51">
        <f>VLOOKUP(A28,[4]ind_metrics!$A:$C,3,0)</f>
        <v>0.101310968507019</v>
      </c>
      <c r="N28" s="53">
        <f>VLOOKUP(A28,[4]ind_metrics!$A:$D,4,0)</f>
        <v>13.775007812074699</v>
      </c>
    </row>
    <row r="29" spans="1:14">
      <c r="A29" s="67">
        <v>883</v>
      </c>
      <c r="B29" s="47" t="s">
        <v>19</v>
      </c>
      <c r="C29" s="48">
        <v>0.13930100000000001</v>
      </c>
      <c r="D29" s="49">
        <v>0.436531</v>
      </c>
      <c r="E29" s="30">
        <v>0</v>
      </c>
      <c r="F29" s="30">
        <f>VLOOKUP(A29,'[1]AIM database for Grad Students '!$A:$GC,185,0)</f>
        <v>19</v>
      </c>
      <c r="G29" s="30">
        <f>VLOOKUP(A29,'[2]KM_45 participants'!$A:$BF,58,0)</f>
        <v>84</v>
      </c>
      <c r="H29" s="30">
        <f>VLOOKUP(A29,'[2]KM_45 participants'!$A:$W,21,0)</f>
        <v>45</v>
      </c>
      <c r="I29" s="30">
        <f>VLOOKUP(A29,'[2]KM_45 participants'!$A:$V,22,0)</f>
        <v>36</v>
      </c>
      <c r="J29" s="30">
        <f>VLOOKUP(A29,'[2]KM_45 participants'!$A:$W,23,0)</f>
        <v>81</v>
      </c>
      <c r="K29" s="52">
        <f>VLOOKUP(A29,[3]for_thesis!$B:$C,2,0)</f>
        <v>9.0055094015433407E-2</v>
      </c>
      <c r="L29" s="50">
        <f>VLOOKUP(A29,[4]ind_metrics!$A:$B,2,0)</f>
        <v>78.100719424460394</v>
      </c>
      <c r="M29" s="51">
        <f>VLOOKUP(A29,[4]ind_metrics!$A:$C,3,0)</f>
        <v>7.2192536964097304E-2</v>
      </c>
      <c r="N29" s="53">
        <f>VLOOKUP(A29,[4]ind_metrics!$A:$D,4,0)</f>
        <v>12.6365434792173</v>
      </c>
    </row>
    <row r="30" spans="1:14">
      <c r="A30" s="67">
        <v>884</v>
      </c>
      <c r="B30" s="47" t="s">
        <v>18</v>
      </c>
      <c r="C30" s="48">
        <v>0.10457900000000001</v>
      </c>
      <c r="D30" s="49">
        <v>0.81499299999999997</v>
      </c>
      <c r="E30" s="30">
        <v>25</v>
      </c>
      <c r="F30" s="30">
        <f>VLOOKUP(A30,'[1]AIM database for Grad Students '!$A:$GC,185,0)</f>
        <v>28</v>
      </c>
      <c r="G30" s="30">
        <f>VLOOKUP(A30,'[2]KM_45 participants'!$A:$BF,58,0)</f>
        <v>88</v>
      </c>
      <c r="H30" s="30">
        <f>VLOOKUP(A30,'[2]KM_45 participants'!$A:$W,21,0)</f>
        <v>47</v>
      </c>
      <c r="I30" s="30">
        <f>VLOOKUP(A30,'[2]KM_45 participants'!$A:$V,22,0)</f>
        <v>36</v>
      </c>
      <c r="J30" s="30">
        <f>VLOOKUP(A30,'[2]KM_45 participants'!$A:$W,23,0)</f>
        <v>83</v>
      </c>
      <c r="K30" s="52">
        <f>VLOOKUP(A30,[3]for_thesis!$B:$C,2,0)</f>
        <v>9.4047984726505399E-2</v>
      </c>
      <c r="L30" s="50">
        <f>VLOOKUP(A30,[4]ind_metrics!$A:$B,2,0)</f>
        <v>69.223021582733793</v>
      </c>
      <c r="M30" s="51">
        <f>VLOOKUP(A30,[4]ind_metrics!$A:$C,3,0)</f>
        <v>8.8590046514429199E-2</v>
      </c>
      <c r="N30" s="53">
        <f>VLOOKUP(A30,[4]ind_metrics!$A:$D,4,0)</f>
        <v>13.8859271159446</v>
      </c>
    </row>
    <row r="31" spans="1:14">
      <c r="A31" s="67">
        <v>890</v>
      </c>
      <c r="B31" s="47" t="s">
        <v>19</v>
      </c>
      <c r="C31" s="48">
        <v>0.12049799999999999</v>
      </c>
      <c r="D31" s="49">
        <v>0.41639900000000002</v>
      </c>
      <c r="E31" s="30">
        <v>0</v>
      </c>
      <c r="F31" s="30">
        <f>VLOOKUP(A31,'[1]AIM database for Grad Students '!$A:$GC,185,0)</f>
        <v>17</v>
      </c>
      <c r="G31" s="30">
        <f>VLOOKUP(A31,'[2]KM_45 participants'!$A:$BF,58,0)</f>
        <v>103</v>
      </c>
      <c r="H31" s="30">
        <f>VLOOKUP(A31,'[2]KM_45 participants'!$A:$W,21,0)</f>
        <v>43</v>
      </c>
      <c r="I31" s="30">
        <f>VLOOKUP(A31,'[2]KM_45 participants'!$A:$V,22,0)</f>
        <v>34</v>
      </c>
      <c r="J31" s="30">
        <f>VLOOKUP(A31,'[2]KM_45 participants'!$A:$W,23,0)</f>
        <v>77</v>
      </c>
      <c r="K31" s="52">
        <f>VLOOKUP(A31,[3]for_thesis!$B:$C,2,0)</f>
        <v>7.9461484952729297E-2</v>
      </c>
      <c r="L31" s="50">
        <f>VLOOKUP(A31,[4]ind_metrics!$A:$B,2,0)</f>
        <v>72.589928057554005</v>
      </c>
      <c r="M31" s="51">
        <f>VLOOKUP(A31,[4]ind_metrics!$A:$C,3,0)</f>
        <v>8.3379161383033307E-2</v>
      </c>
      <c r="N31" s="53">
        <f>VLOOKUP(A31,[4]ind_metrics!$A:$D,4,0)</f>
        <v>11.8873667692427</v>
      </c>
    </row>
    <row r="32" spans="1:14">
      <c r="A32" s="67">
        <v>893</v>
      </c>
      <c r="B32" s="47" t="s">
        <v>17</v>
      </c>
      <c r="C32" s="48">
        <v>0.15617700000000001</v>
      </c>
      <c r="D32" s="49">
        <v>1.9707129999999999</v>
      </c>
      <c r="E32" s="30">
        <v>27</v>
      </c>
      <c r="F32" s="30">
        <v>42</v>
      </c>
      <c r="G32" s="30">
        <f>VLOOKUP(A32,'[2]KM_45 participants'!$A:$BF,58,0)</f>
        <v>30</v>
      </c>
      <c r="H32" s="30">
        <f>VLOOKUP(A32,'[2]KM_45 participants'!$A:$W,21,0)</f>
        <v>32</v>
      </c>
      <c r="I32" s="30">
        <f>VLOOKUP(A32,'[2]KM_45 participants'!$A:$V,22,0)</f>
        <v>28</v>
      </c>
      <c r="J32" s="30">
        <f>VLOOKUP(A32,'[2]KM_45 participants'!$A:$W,23,0)</f>
        <v>60</v>
      </c>
      <c r="K32" s="52">
        <f>VLOOKUP(A32,[3]for_thesis!$B:$C,2,0)</f>
        <v>0.101774524080032</v>
      </c>
      <c r="L32" s="50">
        <f>VLOOKUP(A32,[4]ind_metrics!$A:$B,2,0)</f>
        <v>75.079136690647502</v>
      </c>
      <c r="M32" s="51">
        <f>VLOOKUP(A32,[4]ind_metrics!$A:$C,3,0)</f>
        <v>0.104613882628475</v>
      </c>
      <c r="N32" s="53">
        <f>VLOOKUP(A32,[4]ind_metrics!$A:$D,4,0)</f>
        <v>14.9445741806058</v>
      </c>
    </row>
    <row r="33" spans="1:14">
      <c r="A33" s="67">
        <v>894</v>
      </c>
      <c r="B33" s="47" t="s">
        <v>19</v>
      </c>
      <c r="C33" s="48">
        <v>0.122187</v>
      </c>
      <c r="D33" s="49">
        <v>0.39200000000000002</v>
      </c>
      <c r="E33" s="30">
        <v>0</v>
      </c>
      <c r="F33" s="30">
        <f>VLOOKUP(A33,'[1]AIM database for Grad Students '!$A:$GC,185,0)</f>
        <v>24</v>
      </c>
      <c r="G33" s="30">
        <f>VLOOKUP(A33,'[2]KM_45 participants'!$A:$BF,58,0)</f>
        <v>75</v>
      </c>
      <c r="H33" s="30">
        <f>VLOOKUP(A33,'[2]KM_45 participants'!$A:$W,21,0)</f>
        <v>44</v>
      </c>
      <c r="I33" s="30">
        <f>VLOOKUP(A33,'[2]KM_45 participants'!$A:$V,22,0)</f>
        <v>40</v>
      </c>
      <c r="J33" s="30">
        <f>VLOOKUP(A33,'[2]KM_45 participants'!$A:$W,23,0)</f>
        <v>84</v>
      </c>
      <c r="K33" s="52">
        <f>VLOOKUP(A33,[3]for_thesis!$B:$C,2,0)</f>
        <v>0.101054238519177</v>
      </c>
      <c r="L33" s="50">
        <f>VLOOKUP(A33,[4]ind_metrics!$A:$B,2,0)</f>
        <v>71.525179856115102</v>
      </c>
      <c r="M33" s="51">
        <f>VLOOKUP(A33,[4]ind_metrics!$A:$C,3,0)</f>
        <v>0.130026392060068</v>
      </c>
      <c r="N33" s="53">
        <f>VLOOKUP(A33,[4]ind_metrics!$A:$D,4,0)</f>
        <v>14.448937829973101</v>
      </c>
    </row>
    <row r="34" spans="1:14">
      <c r="A34" s="67">
        <v>895</v>
      </c>
      <c r="B34" s="47" t="s">
        <v>19</v>
      </c>
      <c r="C34" s="48">
        <v>9.8114000000000007E-2</v>
      </c>
      <c r="D34" s="49">
        <v>0.42438900000000002</v>
      </c>
      <c r="E34" s="30">
        <v>0</v>
      </c>
      <c r="F34" s="30">
        <f>VLOOKUP(A34,'[1]AIM database for Grad Students '!$A:$GC,185,0)</f>
        <v>15</v>
      </c>
      <c r="G34" s="30">
        <f>VLOOKUP(A34,'[2]KM_45 participants'!$A:$BF,58,0)</f>
        <v>95</v>
      </c>
      <c r="H34" s="30">
        <f>VLOOKUP(A34,'[2]KM_45 participants'!$A:$W,21,0)</f>
        <v>45</v>
      </c>
      <c r="I34" s="30">
        <f>VLOOKUP(A34,'[2]KM_45 participants'!$A:$V,22,0)</f>
        <v>39</v>
      </c>
      <c r="J34" s="30">
        <f>VLOOKUP(A34,'[2]KM_45 participants'!$A:$W,23,0)</f>
        <v>84</v>
      </c>
      <c r="K34" s="52">
        <f>VLOOKUP(A34,[3]for_thesis!$B:$C,2,0)</f>
        <v>0.102815231836015</v>
      </c>
      <c r="L34" s="50">
        <f>VLOOKUP(A34,[4]ind_metrics!$A:$B,2,0)</f>
        <v>76.532374100719395</v>
      </c>
      <c r="M34" s="51">
        <f>VLOOKUP(A34,[4]ind_metrics!$A:$C,3,0)</f>
        <v>0.108701345950151</v>
      </c>
      <c r="N34" s="53">
        <f>VLOOKUP(A34,[4]ind_metrics!$A:$D,4,0)</f>
        <v>15.087166117387801</v>
      </c>
    </row>
    <row r="35" spans="1:14">
      <c r="A35" s="67">
        <v>899</v>
      </c>
      <c r="B35" s="47" t="s">
        <v>19</v>
      </c>
      <c r="C35" s="48">
        <v>0.120616</v>
      </c>
      <c r="D35" s="49">
        <v>0.68766899999999997</v>
      </c>
      <c r="E35" s="30">
        <v>2</v>
      </c>
      <c r="F35" s="30">
        <f>VLOOKUP(A35,'[1]AIM database for Grad Students '!$A:$GC,185,0)</f>
        <v>17</v>
      </c>
      <c r="G35" s="30">
        <f>VLOOKUP(A35,'[2]KM_45 participants'!$A:$BF,58,0)</f>
        <v>103</v>
      </c>
      <c r="H35" s="30">
        <f>VLOOKUP(A35,'[2]KM_45 participants'!$A:$W,21,0)</f>
        <v>42</v>
      </c>
      <c r="I35" s="30">
        <f>VLOOKUP(A35,'[2]KM_45 participants'!$A:$V,22,0)</f>
        <v>39</v>
      </c>
      <c r="J35" s="30">
        <f>VLOOKUP(A35,'[2]KM_45 participants'!$A:$W,23,0)</f>
        <v>81</v>
      </c>
      <c r="K35" s="52">
        <f>VLOOKUP(A35,[3]for_thesis!$B:$C,2,0)</f>
        <v>0.101420702043029</v>
      </c>
      <c r="L35" s="50">
        <f>VLOOKUP(A35,[4]ind_metrics!$A:$B,2,0)</f>
        <v>74.043165467625897</v>
      </c>
      <c r="M35" s="51">
        <f>VLOOKUP(A35,[4]ind_metrics!$A:$C,3,0)</f>
        <v>0.112022265056616</v>
      </c>
      <c r="N35" s="53">
        <f>VLOOKUP(A35,[4]ind_metrics!$A:$D,4,0)</f>
        <v>15.097477583981</v>
      </c>
    </row>
    <row r="36" spans="1:14">
      <c r="A36" s="67">
        <v>901</v>
      </c>
      <c r="B36" s="47" t="s">
        <v>19</v>
      </c>
      <c r="C36" s="48">
        <v>9.9429000000000003E-2</v>
      </c>
      <c r="D36" s="49">
        <v>0.35397499999999998</v>
      </c>
      <c r="E36" s="30">
        <v>0</v>
      </c>
      <c r="F36" s="30">
        <f>VLOOKUP(A36,'[1]AIM database for Grad Students '!$A:$GC,185,0)</f>
        <v>19</v>
      </c>
      <c r="G36" s="30">
        <f>VLOOKUP(A36,'[2]KM_45 participants'!$A:$BF,58,0)</f>
        <v>88</v>
      </c>
      <c r="H36" s="30">
        <f>VLOOKUP(A36,'[2]KM_45 participants'!$A:$W,21,0)</f>
        <v>42</v>
      </c>
      <c r="I36" s="30">
        <f>VLOOKUP(A36,'[2]KM_45 participants'!$A:$V,22,0)</f>
        <v>41</v>
      </c>
      <c r="J36" s="30">
        <f>VLOOKUP(A36,'[2]KM_45 participants'!$A:$W,23,0)</f>
        <v>83</v>
      </c>
      <c r="K36" s="52">
        <f>VLOOKUP(A36,[3]for_thesis!$B:$C,2,0)</f>
        <v>9.1887283225230001E-2</v>
      </c>
      <c r="L36" s="50">
        <f>VLOOKUP(A36,[4]ind_metrics!$A:$B,2,0)</f>
        <v>72.805755395683406</v>
      </c>
      <c r="M36" s="51">
        <f>VLOOKUP(A36,[4]ind_metrics!$A:$C,3,0)</f>
        <v>9.9759857988720405E-2</v>
      </c>
      <c r="N36" s="53">
        <f>VLOOKUP(A36,[4]ind_metrics!$A:$D,4,0)</f>
        <v>13.772332368307</v>
      </c>
    </row>
    <row r="37" spans="1:14">
      <c r="A37" s="67">
        <v>904</v>
      </c>
      <c r="B37" s="47" t="s">
        <v>18</v>
      </c>
      <c r="C37" s="48">
        <v>0.21119299999999999</v>
      </c>
      <c r="D37" s="49">
        <v>0.57244200000000001</v>
      </c>
      <c r="E37" s="30">
        <v>21</v>
      </c>
      <c r="F37" s="30">
        <f>VLOOKUP(A37,'[1]AIM database for Grad Students '!$A:$GC,185,0)</f>
        <v>36</v>
      </c>
      <c r="G37" s="30">
        <f>VLOOKUP(A37,'[2]KM_45 participants'!$A:$BF,58,0)</f>
        <v>90</v>
      </c>
      <c r="H37" s="30">
        <f>VLOOKUP(A37,'[2]KM_45 participants'!$A:$W,21,0)</f>
        <v>22</v>
      </c>
      <c r="I37" s="30">
        <f>VLOOKUP(A37,'[2]KM_45 participants'!$A:$V,22,0)</f>
        <v>27</v>
      </c>
      <c r="J37" s="30">
        <f>VLOOKUP(A37,'[2]KM_45 participants'!$A:$W,23,0)</f>
        <v>49</v>
      </c>
      <c r="K37" s="52">
        <f>VLOOKUP(A37,[3]for_thesis!$B:$C,2,0)</f>
        <v>7.6308427114358798E-2</v>
      </c>
      <c r="L37" s="50">
        <f>VLOOKUP(A37,[4]ind_metrics!$A:$B,2,0)</f>
        <v>69.726618705036003</v>
      </c>
      <c r="M37" s="51">
        <f>VLOOKUP(A37,[4]ind_metrics!$A:$C,3,0)</f>
        <v>9.1685851591800899E-2</v>
      </c>
      <c r="N37" s="53">
        <f>VLOOKUP(A37,[4]ind_metrics!$A:$D,4,0)</f>
        <v>11.4553524776472</v>
      </c>
    </row>
    <row r="38" spans="1:14">
      <c r="A38" s="67">
        <v>906</v>
      </c>
      <c r="B38" s="47" t="s">
        <v>18</v>
      </c>
      <c r="C38" s="48">
        <v>0.297516</v>
      </c>
      <c r="D38" s="49">
        <v>0.68962100000000004</v>
      </c>
      <c r="E38" s="30">
        <v>29</v>
      </c>
      <c r="F38" s="30">
        <f>VLOOKUP(A38,'[1]AIM database for Grad Students '!$A:$GC,185,0)</f>
        <v>36</v>
      </c>
      <c r="G38" s="30">
        <f>VLOOKUP(A38,'[2]KM_45 participants'!$A:$BF,58,0)</f>
        <v>28</v>
      </c>
      <c r="H38" s="30">
        <f>VLOOKUP(A38,'[2]KM_45 participants'!$A:$W,21,0)</f>
        <v>33</v>
      </c>
      <c r="I38" s="30">
        <f>VLOOKUP(A38,'[2]KM_45 participants'!$A:$V,22,0)</f>
        <v>29</v>
      </c>
      <c r="J38" s="30">
        <f>VLOOKUP(A38,'[2]KM_45 participants'!$A:$W,23,0)</f>
        <v>62</v>
      </c>
      <c r="K38" s="52">
        <f>VLOOKUP(A38,[3]for_thesis!$B:$C,2,0)</f>
        <v>8.9335412551551793E-2</v>
      </c>
      <c r="L38" s="50">
        <f>VLOOKUP(A38,[4]ind_metrics!$A:$B,2,0)</f>
        <v>72.287769784172696</v>
      </c>
      <c r="M38" s="51">
        <f>VLOOKUP(A38,[4]ind_metrics!$A:$C,3,0)</f>
        <v>9.2182187125999002E-2</v>
      </c>
      <c r="N38" s="53">
        <f>VLOOKUP(A38,[4]ind_metrics!$A:$D,4,0)</f>
        <v>13.4176223446657</v>
      </c>
    </row>
    <row r="39" spans="1:14">
      <c r="A39" s="67">
        <v>915</v>
      </c>
      <c r="B39" s="47" t="s">
        <v>17</v>
      </c>
      <c r="C39" s="54">
        <v>0.13800599999999999</v>
      </c>
      <c r="D39" s="55">
        <v>0.982626</v>
      </c>
      <c r="E39" s="30">
        <v>14</v>
      </c>
      <c r="F39" s="30">
        <f>VLOOKUP(A39,'[1]AIM database for Grad Students '!$A:$GC,185,0)</f>
        <v>25</v>
      </c>
      <c r="G39" s="30">
        <f>VLOOKUP(A39,'[2]KM_45 participants'!$A:$BF,58,0)</f>
        <v>85</v>
      </c>
      <c r="H39" s="30">
        <f>VLOOKUP(A39,'[2]KM_45 participants'!$A:$W,21,0)</f>
        <v>33</v>
      </c>
      <c r="I39" s="30">
        <f>VLOOKUP(A39,'[2]KM_45 participants'!$A:$V,22,0)</f>
        <v>36</v>
      </c>
      <c r="J39" s="30">
        <f>VLOOKUP(A39,'[2]KM_45 participants'!$A:$W,23,0)</f>
        <v>69</v>
      </c>
      <c r="K39" s="52">
        <f>VLOOKUP(A39,[3]for_thesis!$B:$C,2,0)</f>
        <v>9.3460437603576502E-2</v>
      </c>
      <c r="L39" s="50">
        <f>VLOOKUP(A39,[4]ind_metrics!$A:$B,2,0)</f>
        <v>73.223021582733793</v>
      </c>
      <c r="M39" s="51">
        <f>VLOOKUP(A39,[4]ind_metrics!$A:$C,3,0)</f>
        <v>8.3990699485105402E-2</v>
      </c>
      <c r="N39" s="53">
        <f>VLOOKUP(A39,[4]ind_metrics!$A:$D,4,0)</f>
        <v>13.9910008268971</v>
      </c>
    </row>
    <row r="40" spans="1:14">
      <c r="A40" s="67">
        <v>916</v>
      </c>
      <c r="B40" s="47" t="s">
        <v>19</v>
      </c>
      <c r="C40" s="48">
        <v>7.3362999999999998E-2</v>
      </c>
      <c r="D40" s="49">
        <v>0.39280900000000002</v>
      </c>
      <c r="E40" s="30">
        <v>0</v>
      </c>
      <c r="F40" s="30">
        <f>VLOOKUP(A40,'[1]AIM database for Grad Students '!$A:$GC,185,0)</f>
        <v>15</v>
      </c>
      <c r="G40" s="30">
        <f>VLOOKUP(A40,'[2]KM_45 participants'!$A:$BF,58,0)</f>
        <v>100</v>
      </c>
      <c r="H40" s="30">
        <f>VLOOKUP(A40,'[2]KM_45 participants'!$A:$W,21,0)</f>
        <v>37</v>
      </c>
      <c r="I40" s="30">
        <f>VLOOKUP(A40,'[2]KM_45 participants'!$A:$V,22,0)</f>
        <v>39</v>
      </c>
      <c r="J40" s="30">
        <f>VLOOKUP(A40,'[2]KM_45 participants'!$A:$W,23,0)</f>
        <v>76</v>
      </c>
      <c r="K40" s="52">
        <f>VLOOKUP(A40,[3]for_thesis!$B:$C,2,0)</f>
        <v>8.4726913020510802E-2</v>
      </c>
      <c r="L40" s="50">
        <f>VLOOKUP(A40,[4]ind_metrics!$A:$B,2,0)</f>
        <v>73.424460431654694</v>
      </c>
      <c r="M40" s="51">
        <f>VLOOKUP(A40,[4]ind_metrics!$A:$C,3,0)</f>
        <v>7.8604747684664397E-2</v>
      </c>
      <c r="N40" s="53">
        <f>VLOOKUP(A40,[4]ind_metrics!$A:$D,4,0)</f>
        <v>12.6088061760837</v>
      </c>
    </row>
    <row r="41" spans="1:14">
      <c r="A41" s="67">
        <v>918</v>
      </c>
      <c r="B41" s="47" t="s">
        <v>18</v>
      </c>
      <c r="C41" s="48">
        <v>0.34659600000000002</v>
      </c>
      <c r="D41" s="49">
        <v>1.137721</v>
      </c>
      <c r="E41" s="30">
        <v>27</v>
      </c>
      <c r="F41" s="30">
        <f>VLOOKUP(A41,'[1]AIM database for Grad Students '!$A:$GC,185,0)</f>
        <v>45</v>
      </c>
      <c r="G41" s="30">
        <f>VLOOKUP(A41,'[2]KM_45 participants'!$A:$BF,58,0)</f>
        <v>50</v>
      </c>
      <c r="H41" s="30">
        <f>VLOOKUP(A41,'[2]KM_45 participants'!$A:$W,21,0)</f>
        <v>26</v>
      </c>
      <c r="I41" s="30">
        <f>VLOOKUP(A41,'[2]KM_45 participants'!$A:$V,22,0)</f>
        <v>23</v>
      </c>
      <c r="J41" s="30">
        <f>VLOOKUP(A41,'[2]KM_45 participants'!$A:$W,23,0)</f>
        <v>49</v>
      </c>
      <c r="K41" s="52">
        <f>VLOOKUP(A41,[3]for_thesis!$B:$C,2,0)</f>
        <v>7.5860104058758607E-2</v>
      </c>
      <c r="L41" s="50">
        <f>VLOOKUP(A41,[4]ind_metrics!$A:$B,2,0)</f>
        <v>73.208633093525194</v>
      </c>
      <c r="M41" s="51">
        <f>VLOOKUP(A41,[4]ind_metrics!$A:$C,3,0)</f>
        <v>6.4677381698459296E-2</v>
      </c>
      <c r="N41" s="53">
        <f>VLOOKUP(A41,[4]ind_metrics!$A:$D,4,0)</f>
        <v>11.544554464167399</v>
      </c>
    </row>
    <row r="42" spans="1:14">
      <c r="A42" s="67">
        <v>921</v>
      </c>
      <c r="B42" s="47" t="s">
        <v>19</v>
      </c>
      <c r="C42" s="48">
        <v>0.253909</v>
      </c>
      <c r="D42" s="49">
        <v>0.68464599999999998</v>
      </c>
      <c r="E42" s="30">
        <v>0</v>
      </c>
      <c r="F42" s="30">
        <f>VLOOKUP(A42,'[1]AIM database for Grad Students '!$A:$GC,185,0)</f>
        <v>25</v>
      </c>
      <c r="G42" s="30">
        <f>VLOOKUP(A42,'[2]KM_45 participants'!$A:$BF,58,0)</f>
        <v>85</v>
      </c>
      <c r="H42" s="30">
        <f>VLOOKUP(A42,'[2]KM_45 participants'!$A:$W,21,0)</f>
        <v>42</v>
      </c>
      <c r="I42" s="30">
        <f>VLOOKUP(A42,'[2]KM_45 participants'!$A:$V,22,0)</f>
        <v>44</v>
      </c>
      <c r="J42" s="30">
        <f>VLOOKUP(A42,'[2]KM_45 participants'!$A:$W,23,0)</f>
        <v>86</v>
      </c>
      <c r="K42" s="52">
        <f>VLOOKUP(A42,[3]for_thesis!$B:$C,2,0)</f>
        <v>7.1998164576325199E-2</v>
      </c>
      <c r="L42" s="50">
        <f>VLOOKUP(A42,[4]ind_metrics!$A:$B,2,0)</f>
        <v>78.561151079136707</v>
      </c>
      <c r="M42" s="51">
        <f>VLOOKUP(A42,[4]ind_metrics!$A:$C,3,0)</f>
        <v>6.7532286089978397E-2</v>
      </c>
      <c r="N42" s="53">
        <f>VLOOKUP(A42,[4]ind_metrics!$A:$D,4,0)</f>
        <v>10.1655217422883</v>
      </c>
    </row>
    <row r="43" spans="1:14">
      <c r="A43" s="67">
        <v>931</v>
      </c>
      <c r="B43" s="47" t="s">
        <v>18</v>
      </c>
      <c r="C43" s="48">
        <v>8.5580000000000003E-2</v>
      </c>
      <c r="D43" s="49">
        <v>0.369058</v>
      </c>
      <c r="E43" s="30">
        <v>15</v>
      </c>
      <c r="F43" s="30">
        <f>VLOOKUP(A43,'[1]AIM database for Grad Students '!$A:$GC,185,0)</f>
        <v>22</v>
      </c>
      <c r="G43" s="30">
        <f>VLOOKUP(A43,'[2]KM_45 participants'!$A:$BF,58,0)</f>
        <v>49</v>
      </c>
      <c r="H43" s="30">
        <f>VLOOKUP(A43,'[2]KM_45 participants'!$A:$W,21,0)</f>
        <v>41</v>
      </c>
      <c r="I43" s="30">
        <f>VLOOKUP(A43,'[2]KM_45 participants'!$A:$V,22,0)</f>
        <v>37</v>
      </c>
      <c r="J43" s="30">
        <f>VLOOKUP(A43,'[2]KM_45 participants'!$A:$W,23,0)</f>
        <v>78</v>
      </c>
      <c r="K43" s="52">
        <f>VLOOKUP(A43,[3]for_thesis!$B:$C,2,0)</f>
        <v>9.1632001025956505E-2</v>
      </c>
      <c r="L43" s="50">
        <f>VLOOKUP(A43,[4]ind_metrics!$A:$B,2,0)</f>
        <v>71.956834532374103</v>
      </c>
      <c r="M43" s="51">
        <f>VLOOKUP(A43,[4]ind_metrics!$A:$C,3,0)</f>
        <v>0.1071065530945</v>
      </c>
      <c r="N43" s="53">
        <f>VLOOKUP(A43,[4]ind_metrics!$A:$D,4,0)</f>
        <v>13.736848142608</v>
      </c>
    </row>
    <row r="44" spans="1:14">
      <c r="A44" s="67">
        <v>932</v>
      </c>
      <c r="B44" s="47" t="s">
        <v>17</v>
      </c>
      <c r="C44" s="48">
        <v>6.0983999999999997E-2</v>
      </c>
      <c r="D44" s="49">
        <v>0.17417299999999999</v>
      </c>
      <c r="E44" s="30">
        <v>25</v>
      </c>
      <c r="F44" s="30">
        <f>VLOOKUP(A44,'[1]AIM database for Grad Students '!$A:$GC,185,0)</f>
        <v>30</v>
      </c>
      <c r="G44" s="30">
        <f>VLOOKUP(A44,'[2]KM_45 participants'!$A:$BF,58,0)</f>
        <v>92</v>
      </c>
      <c r="H44" s="30">
        <f>VLOOKUP(A44,'[2]KM_45 participants'!$A:$W,21,0)</f>
        <v>43</v>
      </c>
      <c r="I44" s="30">
        <f>VLOOKUP(A44,'[2]KM_45 participants'!$A:$V,22,0)</f>
        <v>40</v>
      </c>
      <c r="J44" s="30">
        <f>VLOOKUP(A44,'[2]KM_45 participants'!$A:$W,23,0)</f>
        <v>83</v>
      </c>
      <c r="K44" s="52">
        <f>VLOOKUP(A44,[3]for_thesis!$B:$C,2,0)</f>
        <v>0.102718397290001</v>
      </c>
      <c r="L44" s="50">
        <f>VLOOKUP(A44,[4]ind_metrics!$A:$B,2,0)</f>
        <v>70.690647482014398</v>
      </c>
      <c r="M44" s="51">
        <f>VLOOKUP(A44,[4]ind_metrics!$A:$C,3,0)</f>
        <v>0.122501317344758</v>
      </c>
      <c r="N44" s="53">
        <f>VLOOKUP(A44,[4]ind_metrics!$A:$D,4,0)</f>
        <v>15.2778572233101</v>
      </c>
    </row>
    <row r="45" spans="1:14">
      <c r="A45" s="67">
        <v>937</v>
      </c>
      <c r="B45" s="47" t="s">
        <v>19</v>
      </c>
      <c r="C45" s="48">
        <v>0.43835299999999999</v>
      </c>
      <c r="D45" s="49">
        <v>2.2931080000000001</v>
      </c>
      <c r="E45" s="30">
        <v>0</v>
      </c>
      <c r="F45" s="30">
        <f>VLOOKUP(A45,'[1]AIM database for Grad Students '!$A:$GC,185,0)</f>
        <v>18</v>
      </c>
      <c r="G45" s="30">
        <f>VLOOKUP(A45,'[2]KM_45 participants'!$A:$BF,58,0)</f>
        <v>90</v>
      </c>
      <c r="H45" s="30">
        <f>VLOOKUP(A45,'[2]KM_45 participants'!$A:$W,21,0)</f>
        <v>42</v>
      </c>
      <c r="I45" s="30">
        <f>VLOOKUP(A45,'[2]KM_45 participants'!$A:$V,22,0)</f>
        <v>43</v>
      </c>
      <c r="J45" s="30">
        <f>VLOOKUP(A45,'[2]KM_45 participants'!$A:$W,23,0)</f>
        <v>85</v>
      </c>
      <c r="K45" s="52">
        <f>VLOOKUP(A45,[3]for_thesis!$B:$C,2,0)</f>
        <v>9.2567642587682894E-2</v>
      </c>
      <c r="L45" s="50">
        <f>VLOOKUP(A45,[4]ind_metrics!$A:$B,2,0)</f>
        <v>75.021582733812906</v>
      </c>
      <c r="M45" s="51">
        <f>VLOOKUP(A45,[4]ind_metrics!$A:$C,3,0)</f>
        <v>8.8726903563905196E-2</v>
      </c>
      <c r="N45" s="53">
        <f>VLOOKUP(A45,[4]ind_metrics!$A:$D,4,0)</f>
        <v>13.683098943039001</v>
      </c>
    </row>
    <row r="46" spans="1:14">
      <c r="A46" s="68">
        <v>939</v>
      </c>
      <c r="B46" s="56" t="s">
        <v>18</v>
      </c>
      <c r="C46" s="48">
        <v>0.106437</v>
      </c>
      <c r="D46" s="49">
        <v>0.99481399999999998</v>
      </c>
      <c r="E46" s="72">
        <v>21</v>
      </c>
      <c r="F46" s="72">
        <f>VLOOKUP(A46,'[1]AIM database for Grad Students '!$A:$GC,185,0)</f>
        <v>0</v>
      </c>
      <c r="G46" s="72">
        <f>VLOOKUP(A46,'[2]KM_45 participants'!$A:$BF,58,0)</f>
        <v>34</v>
      </c>
      <c r="H46" s="30">
        <f>VLOOKUP(A46,'[2]KM_45 participants'!$A:$W,21,0)</f>
        <v>30</v>
      </c>
      <c r="I46" s="30">
        <f>VLOOKUP(A46,'[2]KM_45 participants'!$A:$V,22,0)</f>
        <v>17</v>
      </c>
      <c r="J46" s="72">
        <f>VLOOKUP(A46,'[2]KM_45 participants'!$A:$W,23,0)</f>
        <v>47</v>
      </c>
      <c r="K46" s="52">
        <f>VLOOKUP(A46,[3]for_thesis!$B:$C,2,0)</f>
        <v>0.10081641182348999</v>
      </c>
      <c r="L46" s="50">
        <f>VLOOKUP(A46,[4]ind_metrics!$A:$B,2,0)</f>
        <v>71.223021582733793</v>
      </c>
      <c r="M46" s="51">
        <f>VLOOKUP(A46,[4]ind_metrics!$A:$C,3,0)</f>
        <v>0.16172586470768299</v>
      </c>
      <c r="N46" s="53">
        <f>VLOOKUP(A46,[4]ind_metrics!$A:$D,4,0)</f>
        <v>15.013481243465201</v>
      </c>
    </row>
    <row r="47" spans="1:14" ht="14.45" thickBot="1">
      <c r="A47" s="69">
        <v>942</v>
      </c>
      <c r="B47" s="57" t="s">
        <v>17</v>
      </c>
      <c r="C47" s="58">
        <v>0.122974</v>
      </c>
      <c r="D47" s="59">
        <v>0.70203899999999997</v>
      </c>
      <c r="E47" s="73">
        <v>25</v>
      </c>
      <c r="F47" s="73">
        <f>VLOOKUP(A47,'[1]AIM database for Grad Students '!$A:$GC,185,0)</f>
        <v>29</v>
      </c>
      <c r="G47" s="73">
        <f>VLOOKUP(A47,'[2]KM_45 participants'!$A:$BF,58,0)</f>
        <v>56</v>
      </c>
      <c r="H47" s="73">
        <f>VLOOKUP(A47,'[2]KM_45 participants'!$A:$W,21,0)</f>
        <v>45</v>
      </c>
      <c r="I47" s="73">
        <f>VLOOKUP(A47,'[2]KM_45 participants'!$A:$V,22,0)</f>
        <v>36</v>
      </c>
      <c r="J47" s="73">
        <f>VLOOKUP(A47,'[2]KM_45 participants'!$A:$W,23,0)</f>
        <v>81</v>
      </c>
      <c r="K47" s="62">
        <f>VLOOKUP(A47,[3]for_thesis!$B:$C,2,0)</f>
        <v>8.9241757878996297E-2</v>
      </c>
      <c r="L47" s="60">
        <f>VLOOKUP(A47,[4]ind_metrics!$A:$B,2,0)</f>
        <v>68.330935251798607</v>
      </c>
      <c r="M47" s="61">
        <f>VLOOKUP(A47,[4]ind_metrics!$A:$C,3,0)</f>
        <v>0.11382157079672001</v>
      </c>
      <c r="N47" s="63">
        <f>VLOOKUP(A47,[4]ind_metrics!$A:$D,4,0)</f>
        <v>12.8768581223277</v>
      </c>
    </row>
    <row r="48" spans="1:14">
      <c r="A48" s="31"/>
      <c r="B48" s="33"/>
      <c r="C48" s="33"/>
      <c r="D48" s="31"/>
      <c r="E48" s="30"/>
      <c r="F48" s="30"/>
      <c r="G48" s="30"/>
      <c r="H48" s="30"/>
      <c r="I48" s="30"/>
      <c r="J48" s="30"/>
      <c r="K48" s="32"/>
      <c r="L48" s="30"/>
      <c r="M48" s="31"/>
      <c r="N48" s="30"/>
    </row>
    <row r="49" spans="1:14">
      <c r="A49" s="31">
        <f>COUNTA(A3:A47)</f>
        <v>45</v>
      </c>
      <c r="B49" s="33" t="s">
        <v>20</v>
      </c>
      <c r="C49" s="33">
        <f>AVERAGE(C3:C47)</f>
        <v>0.16974984444444441</v>
      </c>
      <c r="D49" s="33">
        <f>AVERAGE(D3:D47)</f>
        <v>0.75794826666666637</v>
      </c>
      <c r="E49" s="30">
        <f t="shared" ref="E49:J49" si="0">AVERAGE(E3:E47)</f>
        <v>12.511111111111111</v>
      </c>
      <c r="F49" s="30">
        <f t="shared" si="0"/>
        <v>24.822222222222223</v>
      </c>
      <c r="G49" s="30">
        <f t="shared" si="0"/>
        <v>74.777777777777771</v>
      </c>
      <c r="H49" s="30">
        <f t="shared" si="0"/>
        <v>37.555555555555557</v>
      </c>
      <c r="I49" s="30">
        <f t="shared" si="0"/>
        <v>35.200000000000003</v>
      </c>
      <c r="J49" s="30">
        <f t="shared" si="0"/>
        <v>72.75555555555556</v>
      </c>
      <c r="K49" s="33">
        <f t="shared" ref="K49:N49" si="1">AVERAGE(K3:K47)</f>
        <v>9.4436884147958922E-2</v>
      </c>
      <c r="L49" s="30">
        <f t="shared" si="1"/>
        <v>74.403197442046348</v>
      </c>
      <c r="M49" s="31">
        <f t="shared" si="1"/>
        <v>9.0039572293300313E-2</v>
      </c>
      <c r="N49" s="30">
        <f t="shared" si="1"/>
        <v>14.151170082766246</v>
      </c>
    </row>
    <row r="50" spans="1:14">
      <c r="A50" s="31"/>
      <c r="B50" s="33" t="s">
        <v>21</v>
      </c>
      <c r="C50" s="33">
        <f>STDEV(C3:C47)</f>
        <v>8.8056548093193493E-2</v>
      </c>
      <c r="D50" s="33">
        <f>STDEV(D3:D47)</f>
        <v>0.45441412387322766</v>
      </c>
      <c r="E50" s="30">
        <f t="shared" ref="E50:J50" si="2">STDEV(E3:E47)</f>
        <v>11.717551369676606</v>
      </c>
      <c r="F50" s="30">
        <f t="shared" si="2"/>
        <v>10.316114686364349</v>
      </c>
      <c r="G50" s="30">
        <f t="shared" si="2"/>
        <v>27.23541218281223</v>
      </c>
      <c r="H50" s="30">
        <f t="shared" si="2"/>
        <v>7.9130374456438393</v>
      </c>
      <c r="I50" s="30">
        <f t="shared" si="2"/>
        <v>6.5421708935184455</v>
      </c>
      <c r="J50" s="30">
        <f t="shared" si="2"/>
        <v>12.96876589691127</v>
      </c>
      <c r="K50" s="33">
        <f t="shared" ref="K50:N50" si="3">STDEV(K3:K47)</f>
        <v>5.9217719767367678E-2</v>
      </c>
      <c r="L50" s="30">
        <f t="shared" si="3"/>
        <v>9.1454269315148249</v>
      </c>
      <c r="M50" s="31">
        <f t="shared" si="3"/>
        <v>2.4836908979450508E-2</v>
      </c>
      <c r="N50" s="30">
        <f t="shared" si="3"/>
        <v>8.1195320228378929</v>
      </c>
    </row>
    <row r="51" spans="1:14">
      <c r="A51" s="31"/>
      <c r="B51" s="33"/>
      <c r="C51" s="33"/>
      <c r="D51" s="31"/>
      <c r="E51" s="30"/>
      <c r="F51" s="30"/>
      <c r="G51" s="30"/>
      <c r="H51" s="30"/>
      <c r="I51" s="30"/>
      <c r="J51" s="30"/>
      <c r="K51" s="31"/>
      <c r="L51" s="30"/>
      <c r="M51" s="31"/>
      <c r="N51" s="30"/>
    </row>
    <row r="52" spans="1:14">
      <c r="A52" s="31" t="s">
        <v>22</v>
      </c>
      <c r="B52" s="33" t="s">
        <v>19</v>
      </c>
      <c r="C52" s="33">
        <f>AVERAGEIF(B3:B47,"HC",C3:C47)</f>
        <v>0.16235045000000001</v>
      </c>
      <c r="D52" s="33">
        <f>AVERAGEIF($B3:$B47,"HC",D3:D47)</f>
        <v>0.75706105000000012</v>
      </c>
      <c r="E52" s="33">
        <f t="shared" ref="E52:N52" si="4">AVERAGEIF($B3:$B47,"HC",E3:E47)</f>
        <v>0.4</v>
      </c>
      <c r="F52" s="33">
        <f t="shared" si="4"/>
        <v>18.05</v>
      </c>
      <c r="G52" s="33">
        <f t="shared" si="4"/>
        <v>95.95</v>
      </c>
      <c r="H52" s="33">
        <f t="shared" si="4"/>
        <v>41.85</v>
      </c>
      <c r="I52" s="33">
        <f t="shared" si="4"/>
        <v>38.799999999999997</v>
      </c>
      <c r="J52" s="33">
        <f t="shared" si="4"/>
        <v>80.650000000000006</v>
      </c>
      <c r="K52" s="33">
        <f t="shared" si="4"/>
        <v>0.1081927923537033</v>
      </c>
      <c r="L52" s="33">
        <f t="shared" si="4"/>
        <v>77.537410071942432</v>
      </c>
      <c r="M52" s="33">
        <f t="shared" si="4"/>
        <v>8.5533679598622986E-2</v>
      </c>
      <c r="N52" s="33">
        <f t="shared" si="4"/>
        <v>15.761824824303201</v>
      </c>
    </row>
    <row r="53" spans="1:14">
      <c r="A53" s="31" t="s">
        <v>22</v>
      </c>
      <c r="B53" s="33" t="s">
        <v>17</v>
      </c>
      <c r="C53" s="33">
        <f>AVERAGEIF(B3:B47,"MDD",C3:C47)</f>
        <v>0.15538357142857143</v>
      </c>
      <c r="D53" s="33">
        <f>AVERAGEIF($B3:$B47,"MDD",D3:D47)</f>
        <v>0.95566971428571423</v>
      </c>
      <c r="E53" s="33">
        <f t="shared" ref="E53:N53" si="5">AVERAGEIF($B3:$B47,"MDD",E3:E47)</f>
        <v>22.142857142857142</v>
      </c>
      <c r="F53" s="33">
        <f t="shared" si="5"/>
        <v>32</v>
      </c>
      <c r="G53" s="33">
        <f t="shared" si="5"/>
        <v>72.142857142857139</v>
      </c>
      <c r="H53" s="33">
        <f t="shared" si="5"/>
        <v>39.428571428571431</v>
      </c>
      <c r="I53" s="33">
        <f t="shared" si="5"/>
        <v>32.428571428571431</v>
      </c>
      <c r="J53" s="33">
        <f t="shared" si="5"/>
        <v>71.857142857142861</v>
      </c>
      <c r="K53" s="33">
        <f t="shared" si="5"/>
        <v>8.2460402067948566E-2</v>
      </c>
      <c r="L53" s="33">
        <f t="shared" si="5"/>
        <v>71.286742034943472</v>
      </c>
      <c r="M53" s="33">
        <f t="shared" si="5"/>
        <v>0.10129617293143554</v>
      </c>
      <c r="N53" s="33">
        <f t="shared" si="5"/>
        <v>13.68824018325337</v>
      </c>
    </row>
    <row r="54" spans="1:14">
      <c r="A54" s="31" t="s">
        <v>22</v>
      </c>
      <c r="B54" s="33" t="s">
        <v>18</v>
      </c>
      <c r="C54" s="33">
        <f>AVERAGEIF(B3:B47,"TRD",C3:C47)</f>
        <v>0.18355827777777781</v>
      </c>
      <c r="D54" s="33">
        <f>AVERAGEIF($B3:$B47,"TRD",D3:D47)</f>
        <v>0.68204238888888902</v>
      </c>
      <c r="E54" s="33">
        <f t="shared" ref="E54:N54" si="6">AVERAGEIF($B3:$B47,"TRD",E3:E47)</f>
        <v>22.222222222222221</v>
      </c>
      <c r="F54" s="33">
        <f t="shared" si="6"/>
        <v>29.555555555555557</v>
      </c>
      <c r="G54" s="33">
        <f t="shared" si="6"/>
        <v>52.277777777777779</v>
      </c>
      <c r="H54" s="33">
        <f t="shared" si="6"/>
        <v>32.055555555555557</v>
      </c>
      <c r="I54" s="33">
        <f t="shared" si="6"/>
        <v>32.277777777777779</v>
      </c>
      <c r="J54" s="33">
        <f t="shared" si="6"/>
        <v>64.333333333333329</v>
      </c>
      <c r="K54" s="33">
        <f t="shared" si="6"/>
        <v>8.3810062506024754E-2</v>
      </c>
      <c r="L54" s="33">
        <f t="shared" si="6"/>
        <v>72.132693844924063</v>
      </c>
      <c r="M54" s="33">
        <f t="shared" si="6"/>
        <v>9.06685528170003E-2</v>
      </c>
      <c r="N54" s="33">
        <f t="shared" si="6"/>
        <v>12.541581997535751</v>
      </c>
    </row>
    <row r="55" spans="1:14">
      <c r="A55" s="34"/>
      <c r="B55" s="34"/>
      <c r="C55" s="34"/>
      <c r="D55" s="34"/>
      <c r="E55" s="34"/>
      <c r="F55" s="34"/>
      <c r="G55" s="34"/>
      <c r="H55" s="34"/>
      <c r="I55" s="34"/>
      <c r="J55" s="34"/>
      <c r="K55" s="34"/>
      <c r="L55" s="34"/>
      <c r="M55" s="34"/>
      <c r="N55" s="34"/>
    </row>
  </sheetData>
  <mergeCells count="3">
    <mergeCell ref="C1:D1"/>
    <mergeCell ref="E1:J1"/>
    <mergeCell ref="K1:N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7"/>
  <sheetViews>
    <sheetView topLeftCell="A23" workbookViewId="0">
      <selection activeCell="L49" sqref="L49"/>
    </sheetView>
  </sheetViews>
  <sheetFormatPr defaultColWidth="9.140625" defaultRowHeight="14.45"/>
  <cols>
    <col min="1" max="1" width="7.85546875" style="1" customWidth="1"/>
    <col min="2" max="2" width="6.5703125" style="2" bestFit="1" customWidth="1"/>
    <col min="3" max="3" width="12" style="2" bestFit="1" customWidth="1"/>
    <col min="4" max="4" width="12" style="1" bestFit="1" customWidth="1"/>
    <col min="5" max="5" width="10.7109375" style="26" customWidth="1"/>
    <col min="6" max="6" width="10.42578125" style="1" hidden="1" customWidth="1"/>
    <col min="7" max="7" width="9.7109375" style="1" hidden="1" customWidth="1"/>
    <col min="8" max="8" width="10.5703125" style="1" hidden="1" customWidth="1"/>
    <col min="9" max="9" width="10.42578125" style="1" hidden="1" customWidth="1"/>
    <col min="10" max="10" width="11" style="1" hidden="1" customWidth="1"/>
    <col min="11" max="11" width="14.5703125" style="1" hidden="1" customWidth="1"/>
    <col min="12" max="12" width="10.28515625" style="1" bestFit="1" customWidth="1"/>
    <col min="13" max="13" width="5.7109375" style="26" bestFit="1" customWidth="1"/>
    <col min="14" max="15" width="5.7109375" style="1" customWidth="1"/>
    <col min="16" max="16" width="7.7109375" style="1" bestFit="1" customWidth="1"/>
    <col min="17" max="17" width="7.7109375" style="1" hidden="1" customWidth="1"/>
    <col min="18" max="18" width="9.7109375" style="3" bestFit="1" customWidth="1"/>
    <col min="19" max="19" width="7.7109375" style="26" bestFit="1" customWidth="1"/>
    <col min="20" max="20" width="10.7109375" style="1" customWidth="1"/>
    <col min="21" max="21" width="8.42578125" style="26" bestFit="1" customWidth="1"/>
    <col min="22" max="16384" width="9.140625" style="1"/>
  </cols>
  <sheetData>
    <row r="1" spans="1:21">
      <c r="A1" s="17"/>
      <c r="B1" s="17"/>
      <c r="C1" s="80" t="s">
        <v>0</v>
      </c>
      <c r="D1" s="80"/>
      <c r="E1" s="80" t="s">
        <v>1</v>
      </c>
      <c r="F1" s="80"/>
      <c r="G1" s="80"/>
      <c r="H1" s="80"/>
      <c r="I1" s="80"/>
      <c r="J1" s="80"/>
      <c r="K1" s="80"/>
      <c r="L1" s="80"/>
      <c r="M1" s="80"/>
      <c r="N1" s="80"/>
      <c r="O1" s="80"/>
      <c r="P1" s="80"/>
      <c r="Q1" s="17"/>
      <c r="R1" s="80" t="s">
        <v>2</v>
      </c>
      <c r="S1" s="80"/>
      <c r="T1" s="80"/>
      <c r="U1" s="80"/>
    </row>
    <row r="2" spans="1:21" s="14" customFormat="1" ht="30" customHeight="1">
      <c r="A2" s="18" t="s">
        <v>3</v>
      </c>
      <c r="B2" s="18" t="s">
        <v>4</v>
      </c>
      <c r="C2" s="18" t="s">
        <v>23</v>
      </c>
      <c r="D2" s="22" t="s">
        <v>24</v>
      </c>
      <c r="E2" s="18" t="s">
        <v>7</v>
      </c>
      <c r="F2" s="25" t="s">
        <v>25</v>
      </c>
      <c r="G2" s="19" t="s">
        <v>26</v>
      </c>
      <c r="H2" s="20" t="s">
        <v>27</v>
      </c>
      <c r="I2" s="19" t="s">
        <v>28</v>
      </c>
      <c r="J2" s="20" t="s">
        <v>29</v>
      </c>
      <c r="K2" s="18" t="s">
        <v>30</v>
      </c>
      <c r="L2" s="22" t="s">
        <v>8</v>
      </c>
      <c r="M2" s="18" t="s">
        <v>9</v>
      </c>
      <c r="N2" s="24" t="s">
        <v>10</v>
      </c>
      <c r="O2" s="24" t="s">
        <v>11</v>
      </c>
      <c r="P2" s="24" t="s">
        <v>12</v>
      </c>
      <c r="Q2" s="21" t="s">
        <v>31</v>
      </c>
      <c r="R2" s="22" t="s">
        <v>13</v>
      </c>
      <c r="S2" s="18" t="s">
        <v>14</v>
      </c>
      <c r="T2" s="23" t="s">
        <v>15</v>
      </c>
      <c r="U2" s="18" t="s">
        <v>16</v>
      </c>
    </row>
    <row r="3" spans="1:21">
      <c r="A3" s="1">
        <v>801</v>
      </c>
      <c r="B3" s="2" t="s">
        <v>17</v>
      </c>
      <c r="C3" s="15">
        <v>0.144621</v>
      </c>
      <c r="D3" s="16">
        <v>1.051525</v>
      </c>
      <c r="E3" s="26">
        <v>15</v>
      </c>
      <c r="F3" s="6" t="s">
        <v>32</v>
      </c>
      <c r="G3" s="6" t="s">
        <v>32</v>
      </c>
      <c r="H3" s="6" t="s">
        <v>33</v>
      </c>
      <c r="I3" s="6" t="s">
        <v>33</v>
      </c>
      <c r="J3" s="6" t="s">
        <v>32</v>
      </c>
      <c r="L3" s="1">
        <f>VLOOKUP(A3,'[1]AIM database for Grad Students '!$A:$GC,185,0)</f>
        <v>30</v>
      </c>
      <c r="M3" s="26">
        <f>VLOOKUP(A3,'[2]KM_45 participants'!$A:$BF,58,0)</f>
        <v>78</v>
      </c>
      <c r="N3" s="1">
        <f>VLOOKUP(A3,'[2]KM_45 participants'!$A:$W,21,0)</f>
        <v>46</v>
      </c>
      <c r="O3" s="1">
        <f>VLOOKUP(A3,'[2]KM_45 participants'!$A:$V,22,0)</f>
        <v>33</v>
      </c>
      <c r="P3" s="1">
        <f>VLOOKUP(A3,'[2]KM_45 participants'!$A:$W,23,0)</f>
        <v>79</v>
      </c>
      <c r="R3" s="3">
        <f>VLOOKUP(A3,[3]for_thesis!$B:$C,2,0)</f>
        <v>2.0466990863308599E-2</v>
      </c>
      <c r="S3" s="26">
        <f>VLOOKUP(A3,[4]ind_metrics!$A:$B,2,0)</f>
        <v>71.093525179856101</v>
      </c>
      <c r="T3" s="1">
        <f>VLOOKUP(A3,[4]ind_metrics!$A:$C,3,0)</f>
        <v>0.10926360726682099</v>
      </c>
      <c r="U3" s="26">
        <f>VLOOKUP(A3,[4]ind_metrics!$A:$D,4,0)</f>
        <v>13.665394179412401</v>
      </c>
    </row>
    <row r="4" spans="1:21">
      <c r="A4" s="1">
        <v>814</v>
      </c>
      <c r="B4" s="2" t="s">
        <v>17</v>
      </c>
      <c r="C4" s="4">
        <v>0.28454400000000002</v>
      </c>
      <c r="D4" s="5">
        <v>1.1166579999999999</v>
      </c>
      <c r="E4" s="26">
        <v>22</v>
      </c>
      <c r="F4" s="6" t="s">
        <v>32</v>
      </c>
      <c r="G4" s="6" t="s">
        <v>33</v>
      </c>
      <c r="H4" s="6" t="s">
        <v>33</v>
      </c>
      <c r="I4" s="6" t="s">
        <v>33</v>
      </c>
      <c r="J4" s="6" t="s">
        <v>33</v>
      </c>
      <c r="L4" s="1">
        <f>VLOOKUP(A4,'[1]AIM database for Grad Students '!$A:$GC,185,0)</f>
        <v>31</v>
      </c>
      <c r="M4" s="26">
        <f>VLOOKUP(A4,'[2]KM_45 participants'!$A:$BF,58,0)</f>
        <v>83</v>
      </c>
      <c r="N4" s="1">
        <f>VLOOKUP(A4,'[2]KM_45 participants'!$A:$W,21,0)</f>
        <v>37</v>
      </c>
      <c r="O4" s="1">
        <f>VLOOKUP(A4,'[2]KM_45 participants'!$A:$V,22,0)</f>
        <v>21</v>
      </c>
      <c r="P4" s="1">
        <f>VLOOKUP(A4,'[2]KM_45 participants'!$A:$W,23,0)</f>
        <v>58</v>
      </c>
      <c r="R4" s="3">
        <f>VLOOKUP(A4,[3]for_thesis!$B:$C,2,0)</f>
        <v>8.6372671380760394E-2</v>
      </c>
      <c r="S4" s="26">
        <f>VLOOKUP(A4,[4]ind_metrics!$A:$B,2,0)</f>
        <v>71.625899280575496</v>
      </c>
      <c r="T4" s="1">
        <f>VLOOKUP(A4,[4]ind_metrics!$A:$C,3,0)</f>
        <v>6.8115336246055494E-2</v>
      </c>
      <c r="U4" s="26">
        <f>VLOOKUP(A4,[4]ind_metrics!$A:$D,4,0)</f>
        <v>12.6640389531529</v>
      </c>
    </row>
    <row r="5" spans="1:21">
      <c r="A5" s="1">
        <v>815</v>
      </c>
      <c r="B5" s="2" t="s">
        <v>17</v>
      </c>
      <c r="C5" s="4">
        <v>0.18037900000000001</v>
      </c>
      <c r="D5" s="5">
        <v>0.69195399999999996</v>
      </c>
      <c r="E5" s="26">
        <v>27</v>
      </c>
      <c r="F5" s="6" t="s">
        <v>33</v>
      </c>
      <c r="G5" s="6" t="s">
        <v>33</v>
      </c>
      <c r="H5" s="6" t="s">
        <v>33</v>
      </c>
      <c r="I5" s="6" t="s">
        <v>33</v>
      </c>
      <c r="J5" s="6" t="s">
        <v>33</v>
      </c>
      <c r="L5" s="1">
        <f>VLOOKUP(A5,'[1]AIM database for Grad Students '!$A:$GC,185,0)</f>
        <v>37</v>
      </c>
      <c r="M5" s="26">
        <f>VLOOKUP(A5,'[2]KM_45 participants'!$A:$BF,58,0)</f>
        <v>81</v>
      </c>
      <c r="N5" s="1">
        <f>VLOOKUP(A5,'[2]KM_45 participants'!$A:$W,21,0)</f>
        <v>40</v>
      </c>
      <c r="O5" s="1">
        <f>VLOOKUP(A5,'[2]KM_45 participants'!$A:$V,22,0)</f>
        <v>33</v>
      </c>
      <c r="P5" s="1">
        <f>VLOOKUP(A5,'[2]KM_45 participants'!$A:$W,23,0)</f>
        <v>73</v>
      </c>
      <c r="R5" s="3">
        <f>VLOOKUP(A5,[3]for_thesis!$B:$C,2,0)</f>
        <v>8.3188035378965103E-2</v>
      </c>
      <c r="S5" s="26">
        <f>VLOOKUP(A5,[4]ind_metrics!$A:$B,2,0)</f>
        <v>68.964028776978395</v>
      </c>
      <c r="T5" s="1">
        <f>VLOOKUP(A5,[4]ind_metrics!$A:$C,3,0)</f>
        <v>0.10676679675211399</v>
      </c>
      <c r="U5" s="26">
        <f>VLOOKUP(A5,[4]ind_metrics!$A:$D,4,0)</f>
        <v>12.397957797067599</v>
      </c>
    </row>
    <row r="6" spans="1:21">
      <c r="A6" s="1">
        <v>821</v>
      </c>
      <c r="B6" s="2" t="s">
        <v>18</v>
      </c>
      <c r="C6" s="4">
        <v>9.3457999999999999E-2</v>
      </c>
      <c r="D6" s="5">
        <v>0.65911600000000004</v>
      </c>
      <c r="E6" s="26">
        <v>15</v>
      </c>
      <c r="F6" s="6" t="s">
        <v>33</v>
      </c>
      <c r="G6" s="6" t="s">
        <v>33</v>
      </c>
      <c r="H6" s="6" t="s">
        <v>33</v>
      </c>
      <c r="I6" s="6" t="s">
        <v>33</v>
      </c>
      <c r="J6" s="6" t="s">
        <v>32</v>
      </c>
      <c r="L6" s="1">
        <f>VLOOKUP(A6,'[1]AIM database for Grad Students '!$A:$GC,185,0)</f>
        <v>31</v>
      </c>
      <c r="M6" s="26">
        <f>VLOOKUP(A6,'[2]KM_45 participants'!$A:$BF,58,0)</f>
        <v>72</v>
      </c>
      <c r="N6" s="1">
        <f>VLOOKUP(A6,'[2]KM_45 participants'!$A:$W,21,0)</f>
        <v>21</v>
      </c>
      <c r="O6" s="1">
        <f>VLOOKUP(A6,'[2]KM_45 participants'!$A:$V,22,0)</f>
        <v>32</v>
      </c>
      <c r="P6" s="1">
        <f>VLOOKUP(A6,'[2]KM_45 participants'!$A:$W,23,0)</f>
        <v>53</v>
      </c>
      <c r="R6" s="3">
        <f>VLOOKUP(A6,[3]for_thesis!$B:$C,2,0)</f>
        <v>7.6407640945364397E-2</v>
      </c>
      <c r="S6" s="26">
        <f>VLOOKUP(A6,[4]ind_metrics!$A:$B,2,0)</f>
        <v>74.201438848920901</v>
      </c>
      <c r="T6" s="1">
        <f>VLOOKUP(A6,[4]ind_metrics!$A:$C,3,0)</f>
        <v>6.8448506314183699E-2</v>
      </c>
      <c r="U6" s="26">
        <f>VLOOKUP(A6,[4]ind_metrics!$A:$D,4,0)</f>
        <v>11.6206620914057</v>
      </c>
    </row>
    <row r="7" spans="1:21">
      <c r="A7" s="1">
        <v>822</v>
      </c>
      <c r="B7" s="2" t="s">
        <v>19</v>
      </c>
      <c r="C7" s="4">
        <v>8.4567000000000003E-2</v>
      </c>
      <c r="D7" s="5">
        <v>0.61739999999999995</v>
      </c>
      <c r="E7" s="26">
        <v>0</v>
      </c>
      <c r="F7" s="6" t="s">
        <v>32</v>
      </c>
      <c r="G7" s="6" t="s">
        <v>32</v>
      </c>
      <c r="H7" s="6" t="s">
        <v>32</v>
      </c>
      <c r="I7" s="6" t="s">
        <v>32</v>
      </c>
      <c r="J7" s="6" t="s">
        <v>32</v>
      </c>
      <c r="L7" s="1">
        <f>VLOOKUP(A7,'[1]AIM database for Grad Students '!$A:$GC,185,0)</f>
        <v>20</v>
      </c>
      <c r="M7" s="26">
        <f>VLOOKUP(A7,'[2]KM_45 participants'!$A:$BF,58,0)</f>
        <v>92</v>
      </c>
      <c r="N7" s="1">
        <f>VLOOKUP(A7,'[2]KM_45 participants'!$A:$W,21,0)</f>
        <v>44</v>
      </c>
      <c r="O7" s="1">
        <f>VLOOKUP(A7,'[2]KM_45 participants'!$A:$V,22,0)</f>
        <v>36</v>
      </c>
      <c r="P7" s="1">
        <f>VLOOKUP(A7,'[2]KM_45 participants'!$A:$W,23,0)</f>
        <v>80</v>
      </c>
      <c r="R7" s="3">
        <f>VLOOKUP(A7,[3]for_thesis!$B:$C,2,0)</f>
        <v>8.7609462008695904E-2</v>
      </c>
      <c r="S7" s="26">
        <f>VLOOKUP(A7,[4]ind_metrics!$A:$B,2,0)</f>
        <v>75.712230215827304</v>
      </c>
      <c r="T7" s="1">
        <f>VLOOKUP(A7,[4]ind_metrics!$A:$C,3,0)</f>
        <v>9.5405665225064801E-2</v>
      </c>
      <c r="U7" s="26">
        <f>VLOOKUP(A7,[4]ind_metrics!$A:$D,4,0)</f>
        <v>13.1777152192087</v>
      </c>
    </row>
    <row r="8" spans="1:21">
      <c r="A8" s="1">
        <v>823</v>
      </c>
      <c r="B8" s="2" t="s">
        <v>18</v>
      </c>
      <c r="C8" s="4">
        <v>0.17948900000000001</v>
      </c>
      <c r="D8" s="5">
        <v>0.38981300000000002</v>
      </c>
      <c r="E8" s="26">
        <v>17</v>
      </c>
      <c r="F8" s="6" t="s">
        <v>33</v>
      </c>
      <c r="G8" s="6" t="s">
        <v>33</v>
      </c>
      <c r="H8" s="6" t="s">
        <v>33</v>
      </c>
      <c r="I8" s="6" t="s">
        <v>33</v>
      </c>
      <c r="J8" s="6" t="s">
        <v>33</v>
      </c>
      <c r="L8" s="1">
        <f>VLOOKUP(A8,'[1]AIM database for Grad Students '!$A:$GC,185,0)</f>
        <v>25</v>
      </c>
      <c r="M8" s="26">
        <f>VLOOKUP(A8,'[2]KM_45 participants'!$A:$BF,58,0)</f>
        <v>49</v>
      </c>
      <c r="N8" s="1">
        <f>VLOOKUP(A8,'[2]KM_45 participants'!$A:$W,21,0)</f>
        <v>31</v>
      </c>
      <c r="O8" s="1">
        <f>VLOOKUP(A8,'[2]KM_45 participants'!$A:$V,22,0)</f>
        <v>36</v>
      </c>
      <c r="P8" s="1">
        <f>VLOOKUP(A8,'[2]KM_45 participants'!$A:$W,23,0)</f>
        <v>67</v>
      </c>
      <c r="R8" s="3">
        <f>VLOOKUP(A8,[3]for_thesis!$B:$C,2,0)</f>
        <v>8.4343041287129897E-2</v>
      </c>
      <c r="S8" s="26">
        <f>VLOOKUP(A8,[4]ind_metrics!$A:$B,2,0)</f>
        <v>70.028776978417298</v>
      </c>
      <c r="T8" s="1">
        <f>VLOOKUP(A8,[4]ind_metrics!$A:$C,3,0)</f>
        <v>0.101419771257551</v>
      </c>
      <c r="U8" s="26">
        <f>VLOOKUP(A8,[4]ind_metrics!$A:$D,4,0)</f>
        <v>12.7236827389111</v>
      </c>
    </row>
    <row r="9" spans="1:21">
      <c r="A9" s="7">
        <v>825</v>
      </c>
      <c r="B9" s="8" t="s">
        <v>18</v>
      </c>
      <c r="C9" s="4">
        <v>0.26189099999999998</v>
      </c>
      <c r="D9" s="5">
        <v>0.65925299999999998</v>
      </c>
      <c r="E9" s="27">
        <v>24</v>
      </c>
      <c r="F9" s="9" t="s">
        <v>33</v>
      </c>
      <c r="G9" s="9" t="s">
        <v>33</v>
      </c>
      <c r="H9" s="9" t="s">
        <v>33</v>
      </c>
      <c r="I9" s="9" t="s">
        <v>33</v>
      </c>
      <c r="J9" s="9" t="s">
        <v>33</v>
      </c>
      <c r="L9" s="1">
        <f>VLOOKUP(A9,'[1]AIM database for Grad Students '!$A:$GC,185,0)</f>
        <v>26</v>
      </c>
      <c r="M9" s="26">
        <f>VLOOKUP(A9,'[2]KM_45 participants'!$A:$BF,58,0)</f>
        <v>71</v>
      </c>
      <c r="N9" s="1">
        <f>VLOOKUP(A9,'[2]KM_45 participants'!$A:$W,21,0)</f>
        <v>48</v>
      </c>
      <c r="O9" s="1">
        <f>VLOOKUP(A9,'[2]KM_45 participants'!$A:$V,22,0)</f>
        <v>46</v>
      </c>
      <c r="P9" s="1">
        <f>VLOOKUP(A9,'[2]KM_45 participants'!$A:$W,23,0)</f>
        <v>94</v>
      </c>
      <c r="R9" s="3">
        <f>VLOOKUP(A9,[3]for_thesis!$B:$C,2,0)</f>
        <v>7.93320536690479E-2</v>
      </c>
      <c r="S9" s="26">
        <f>VLOOKUP(A9,[4]ind_metrics!$A:$B,2,0)</f>
        <v>71.697841726618705</v>
      </c>
      <c r="T9" s="1">
        <f>VLOOKUP(A9,[4]ind_metrics!$A:$C,3,0)</f>
        <v>9.1179748250211703E-2</v>
      </c>
      <c r="U9" s="26">
        <f>VLOOKUP(A9,[4]ind_metrics!$A:$D,4,0)</f>
        <v>12.027155459997701</v>
      </c>
    </row>
    <row r="10" spans="1:21">
      <c r="A10" s="1">
        <v>829</v>
      </c>
      <c r="B10" s="2" t="s">
        <v>19</v>
      </c>
      <c r="C10" s="4">
        <v>0.26822000000000001</v>
      </c>
      <c r="D10" s="5">
        <v>1.7277370000000001</v>
      </c>
      <c r="E10" s="26">
        <v>0</v>
      </c>
      <c r="F10" s="6" t="s">
        <v>32</v>
      </c>
      <c r="G10" s="6" t="s">
        <v>32</v>
      </c>
      <c r="H10" s="6" t="s">
        <v>32</v>
      </c>
      <c r="I10" s="6" t="s">
        <v>32</v>
      </c>
      <c r="J10" s="6" t="s">
        <v>32</v>
      </c>
      <c r="L10" s="1">
        <f>VLOOKUP(A10,'[1]AIM database for Grad Students '!$A:$GC,185,0)</f>
        <v>18</v>
      </c>
      <c r="M10" s="26">
        <f>VLOOKUP(A10,'[2]KM_45 participants'!$A:$BF,58,0)</f>
        <v>101</v>
      </c>
      <c r="N10" s="1">
        <f>VLOOKUP(A10,'[2]KM_45 participants'!$A:$W,21,0)</f>
        <v>41</v>
      </c>
      <c r="O10" s="1">
        <f>VLOOKUP(A10,'[2]KM_45 participants'!$A:$V,22,0)</f>
        <v>41</v>
      </c>
      <c r="P10" s="1">
        <f>VLOOKUP(A10,'[2]KM_45 participants'!$A:$W,23,0)</f>
        <v>82</v>
      </c>
      <c r="R10" s="3">
        <f>VLOOKUP(A10,[3]for_thesis!$B:$C,2,0)</f>
        <v>7.6810602864911606E-2</v>
      </c>
      <c r="S10" s="26">
        <f>VLOOKUP(A10,[4]ind_metrics!$A:$B,2,0)</f>
        <v>71.928057553956805</v>
      </c>
      <c r="T10" s="1">
        <f>VLOOKUP(A10,[4]ind_metrics!$A:$C,3,0)</f>
        <v>5.8134891631256798E-2</v>
      </c>
      <c r="U10" s="26">
        <f>VLOOKUP(A10,[4]ind_metrics!$A:$D,4,0)</f>
        <v>11.6766737982227</v>
      </c>
    </row>
    <row r="11" spans="1:21">
      <c r="A11" s="1">
        <v>831</v>
      </c>
      <c r="B11" s="2" t="s">
        <v>18</v>
      </c>
      <c r="C11" s="4">
        <v>0.119731</v>
      </c>
      <c r="D11" s="5">
        <v>0.68411299999999997</v>
      </c>
      <c r="E11" s="26">
        <v>22</v>
      </c>
      <c r="F11" s="6" t="s">
        <v>33</v>
      </c>
      <c r="G11" s="6" t="s">
        <v>33</v>
      </c>
      <c r="H11" s="6" t="s">
        <v>33</v>
      </c>
      <c r="I11" s="6" t="s">
        <v>33</v>
      </c>
      <c r="J11" s="6" t="s">
        <v>33</v>
      </c>
      <c r="L11" s="1">
        <f>VLOOKUP(A11,'[1]AIM database for Grad Students '!$A:$GC,185,0)</f>
        <v>43</v>
      </c>
      <c r="M11" s="26">
        <f>VLOOKUP(A11,'[2]KM_45 participants'!$A:$BF,58,0)</f>
        <v>38</v>
      </c>
      <c r="N11" s="1">
        <f>VLOOKUP(A11,'[2]KM_45 participants'!$A:$W,21,0)</f>
        <v>20</v>
      </c>
      <c r="O11" s="1">
        <f>VLOOKUP(A11,'[2]KM_45 participants'!$A:$V,22,0)</f>
        <v>24</v>
      </c>
      <c r="P11" s="1">
        <f>VLOOKUP(A11,'[2]KM_45 participants'!$A:$W,23,0)</f>
        <v>44</v>
      </c>
      <c r="R11" s="3">
        <f>VLOOKUP(A11,[3]for_thesis!$B:$C,2,0)</f>
        <v>7.69640001151779E-2</v>
      </c>
      <c r="S11" s="26">
        <f>VLOOKUP(A11,[4]ind_metrics!$A:$B,2,0)</f>
        <v>71.381294964028797</v>
      </c>
      <c r="T11" s="1">
        <f>VLOOKUP(A11,[4]ind_metrics!$A:$C,3,0)</f>
        <v>7.7182247289795697E-2</v>
      </c>
      <c r="U11" s="26">
        <f>VLOOKUP(A11,[4]ind_metrics!$A:$D,4,0)</f>
        <v>11.5451754114645</v>
      </c>
    </row>
    <row r="12" spans="1:21">
      <c r="A12" s="1">
        <v>833</v>
      </c>
      <c r="B12" s="2" t="s">
        <v>19</v>
      </c>
      <c r="C12" s="4">
        <v>9.5763000000000001E-2</v>
      </c>
      <c r="D12" s="5">
        <v>0.459393</v>
      </c>
      <c r="E12" s="26">
        <v>0</v>
      </c>
      <c r="F12" s="6" t="s">
        <v>32</v>
      </c>
      <c r="G12" s="6" t="s">
        <v>32</v>
      </c>
      <c r="H12" s="6" t="s">
        <v>32</v>
      </c>
      <c r="I12" s="6" t="s">
        <v>32</v>
      </c>
      <c r="J12" s="6" t="s">
        <v>32</v>
      </c>
      <c r="L12" s="1">
        <f>VLOOKUP(A12,'[1]AIM database for Grad Students '!$A:$GC,185,0)</f>
        <v>19</v>
      </c>
      <c r="M12" s="26">
        <f>VLOOKUP(A12,'[2]KM_45 participants'!$A:$BF,58,0)</f>
        <v>97</v>
      </c>
      <c r="N12" s="1">
        <f>VLOOKUP(A12,'[2]KM_45 participants'!$A:$W,21,0)</f>
        <v>39</v>
      </c>
      <c r="O12" s="1">
        <f>VLOOKUP(A12,'[2]KM_45 participants'!$A:$V,22,0)</f>
        <v>40</v>
      </c>
      <c r="P12" s="1">
        <f>VLOOKUP(A12,'[2]KM_45 participants'!$A:$W,23,0)</f>
        <v>79</v>
      </c>
      <c r="R12" s="3">
        <f>VLOOKUP(A12,[3]for_thesis!$B:$C,2,0)</f>
        <v>9.1407855884813996E-2</v>
      </c>
      <c r="S12" s="26">
        <f>VLOOKUP(A12,[4]ind_metrics!$A:$B,2,0)</f>
        <v>72.115107913669107</v>
      </c>
      <c r="T12" s="1">
        <f>VLOOKUP(A12,[4]ind_metrics!$A:$C,3,0)</f>
        <v>8.9760890701900395E-2</v>
      </c>
      <c r="U12" s="26">
        <f>VLOOKUP(A12,[4]ind_metrics!$A:$D,4,0)</f>
        <v>13.3440062072938</v>
      </c>
    </row>
    <row r="13" spans="1:21">
      <c r="A13" s="1">
        <v>834</v>
      </c>
      <c r="B13" s="2" t="s">
        <v>18</v>
      </c>
      <c r="C13" s="4">
        <v>7.6672000000000004E-2</v>
      </c>
      <c r="D13" s="5">
        <v>0.34032099999999998</v>
      </c>
      <c r="E13" s="26">
        <v>30</v>
      </c>
      <c r="F13" s="6" t="s">
        <v>33</v>
      </c>
      <c r="G13" s="6" t="s">
        <v>33</v>
      </c>
      <c r="H13" s="6" t="s">
        <v>33</v>
      </c>
      <c r="I13" s="6" t="s">
        <v>33</v>
      </c>
      <c r="J13" s="6" t="s">
        <v>33</v>
      </c>
      <c r="L13" s="1">
        <f>VLOOKUP(A13,'[1]AIM database for Grad Students '!$A:$GC,185,0)</f>
        <v>33</v>
      </c>
      <c r="M13" s="26">
        <f>VLOOKUP(A13,'[2]KM_45 participants'!$A:$BF,58,0)</f>
        <v>30</v>
      </c>
      <c r="N13" s="1">
        <f>VLOOKUP(A13,'[2]KM_45 participants'!$A:$W,21,0)</f>
        <v>24</v>
      </c>
      <c r="O13" s="1">
        <f>VLOOKUP(A13,'[2]KM_45 participants'!$A:$V,22,0)</f>
        <v>26</v>
      </c>
      <c r="P13" s="1">
        <f>VLOOKUP(A13,'[2]KM_45 participants'!$A:$W,23,0)</f>
        <v>50</v>
      </c>
      <c r="R13" s="3">
        <f>VLOOKUP(A13,[3]for_thesis!$B:$C,2,0)</f>
        <v>8.5998376308456706E-2</v>
      </c>
      <c r="S13" s="26">
        <f>VLOOKUP(A13,[4]ind_metrics!$A:$B,2,0)</f>
        <v>72.273381294963997</v>
      </c>
      <c r="T13" s="1">
        <f>VLOOKUP(A13,[4]ind_metrics!$A:$C,3,0)</f>
        <v>0.111172421315463</v>
      </c>
      <c r="U13" s="26">
        <f>VLOOKUP(A13,[4]ind_metrics!$A:$D,4,0)</f>
        <v>12.9537743068755</v>
      </c>
    </row>
    <row r="14" spans="1:21">
      <c r="A14" s="1">
        <v>837</v>
      </c>
      <c r="B14" s="2" t="s">
        <v>19</v>
      </c>
      <c r="C14" s="4">
        <v>0.110888</v>
      </c>
      <c r="D14" s="5">
        <v>0.71555400000000002</v>
      </c>
      <c r="E14" s="26">
        <v>0</v>
      </c>
      <c r="F14" s="6" t="s">
        <v>32</v>
      </c>
      <c r="G14" s="6" t="s">
        <v>32</v>
      </c>
      <c r="H14" s="6" t="s">
        <v>32</v>
      </c>
      <c r="I14" s="6" t="s">
        <v>32</v>
      </c>
      <c r="J14" s="6" t="s">
        <v>32</v>
      </c>
      <c r="L14" s="1">
        <f>VLOOKUP(A14,'[1]AIM database for Grad Students '!$A:$GC,185,0)</f>
        <v>16</v>
      </c>
      <c r="M14" s="26">
        <f>VLOOKUP(A14,'[2]KM_45 participants'!$A:$BF,58,0)</f>
        <v>104</v>
      </c>
      <c r="N14" s="1">
        <f>VLOOKUP(A14,'[2]KM_45 participants'!$A:$W,21,0)</f>
        <v>46</v>
      </c>
      <c r="O14" s="1">
        <f>VLOOKUP(A14,'[2]KM_45 participants'!$A:$V,22,0)</f>
        <v>37</v>
      </c>
      <c r="P14" s="1">
        <f>VLOOKUP(A14,'[2]KM_45 participants'!$A:$W,23,0)</f>
        <v>83</v>
      </c>
      <c r="R14" s="3">
        <f>VLOOKUP(A14,[3]for_thesis!$B:$C,2,0)</f>
        <v>8.7771668380641599E-2</v>
      </c>
      <c r="S14" s="26">
        <f>VLOOKUP(A14,[4]ind_metrics!$A:$B,2,0)</f>
        <v>71.510791366906503</v>
      </c>
      <c r="T14" s="1">
        <f>VLOOKUP(A14,[4]ind_metrics!$A:$C,3,0)</f>
        <v>0.10621766818213101</v>
      </c>
      <c r="U14" s="26">
        <f>VLOOKUP(A14,[4]ind_metrics!$A:$D,4,0)</f>
        <v>13.200261904909199</v>
      </c>
    </row>
    <row r="15" spans="1:21">
      <c r="A15" s="1">
        <v>845</v>
      </c>
      <c r="B15" s="2" t="s">
        <v>19</v>
      </c>
      <c r="C15" s="4">
        <v>0.22664400000000001</v>
      </c>
      <c r="D15" s="5">
        <v>1.081434</v>
      </c>
      <c r="E15" s="26">
        <v>2</v>
      </c>
      <c r="F15" s="6" t="s">
        <v>32</v>
      </c>
      <c r="G15" s="6" t="s">
        <v>32</v>
      </c>
      <c r="H15" s="6" t="s">
        <v>32</v>
      </c>
      <c r="I15" s="6" t="s">
        <v>32</v>
      </c>
      <c r="J15" s="6" t="s">
        <v>32</v>
      </c>
      <c r="L15" s="1">
        <f>VLOOKUP(A15,'[1]AIM database for Grad Students '!$A:$GC,185,0)</f>
        <v>19</v>
      </c>
      <c r="M15" s="26">
        <f>VLOOKUP(A15,'[2]KM_45 participants'!$A:$BF,58,0)</f>
        <v>104</v>
      </c>
      <c r="N15" s="1">
        <f>VLOOKUP(A15,'[2]KM_45 participants'!$A:$W,21,0)</f>
        <v>42</v>
      </c>
      <c r="O15" s="1">
        <f>VLOOKUP(A15,'[2]KM_45 participants'!$A:$V,22,0)</f>
        <v>36</v>
      </c>
      <c r="P15" s="1">
        <f>VLOOKUP(A15,'[2]KM_45 participants'!$A:$W,23,0)</f>
        <v>78</v>
      </c>
      <c r="R15" s="3">
        <f>VLOOKUP(A15,[3]for_thesis!$B:$C,2,0)</f>
        <v>9.1154761136304593E-2</v>
      </c>
      <c r="S15" s="26">
        <f>VLOOKUP(A15,[4]ind_metrics!$A:$B,2,0)</f>
        <v>74.2302158273381</v>
      </c>
      <c r="T15" s="1">
        <f>VLOOKUP(A15,[4]ind_metrics!$A:$C,3,0)</f>
        <v>6.7861109563337005E-2</v>
      </c>
      <c r="U15" s="26">
        <f>VLOOKUP(A15,[4]ind_metrics!$A:$D,4,0)</f>
        <v>13.3098274912919</v>
      </c>
    </row>
    <row r="16" spans="1:21">
      <c r="A16" s="1">
        <v>848</v>
      </c>
      <c r="B16" s="2" t="s">
        <v>18</v>
      </c>
      <c r="C16" s="4">
        <v>0.23744100000000001</v>
      </c>
      <c r="D16" s="5">
        <v>0.50683500000000004</v>
      </c>
      <c r="E16" s="26">
        <v>26</v>
      </c>
      <c r="F16" s="6" t="s">
        <v>33</v>
      </c>
      <c r="G16" s="6" t="s">
        <v>33</v>
      </c>
      <c r="H16" s="6" t="s">
        <v>33</v>
      </c>
      <c r="I16" s="6" t="s">
        <v>33</v>
      </c>
      <c r="J16" s="6" t="s">
        <v>33</v>
      </c>
      <c r="L16" s="1">
        <f>VLOOKUP(A16,'[1]AIM database for Grad Students '!$A:$GC,185,0)</f>
        <v>33</v>
      </c>
      <c r="M16" s="26">
        <f>VLOOKUP(A16,'[2]KM_45 participants'!$A:$BF,58,0)</f>
        <v>22</v>
      </c>
      <c r="N16" s="1">
        <f>VLOOKUP(A16,'[2]KM_45 participants'!$A:$W,21,0)</f>
        <v>26</v>
      </c>
      <c r="O16" s="1">
        <f>VLOOKUP(A16,'[2]KM_45 participants'!$A:$V,22,0)</f>
        <v>25</v>
      </c>
      <c r="P16" s="1">
        <f>VLOOKUP(A16,'[2]KM_45 participants'!$A:$W,23,0)</f>
        <v>51</v>
      </c>
      <c r="R16" s="3">
        <f>VLOOKUP(A16,[3]for_thesis!$B:$C,2,0)</f>
        <v>8.5170275855563499E-2</v>
      </c>
      <c r="S16" s="26">
        <f>VLOOKUP(A16,[4]ind_metrics!$A:$B,2,0)</f>
        <v>71.683453237410106</v>
      </c>
      <c r="T16" s="1">
        <f>VLOOKUP(A16,[4]ind_metrics!$A:$C,3,0)</f>
        <v>8.6805212534695406E-2</v>
      </c>
      <c r="U16" s="26">
        <f>VLOOKUP(A16,[4]ind_metrics!$A:$D,4,0)</f>
        <v>12.501663655286199</v>
      </c>
    </row>
    <row r="17" spans="1:21">
      <c r="A17" s="1">
        <v>849</v>
      </c>
      <c r="B17" s="2" t="s">
        <v>18</v>
      </c>
      <c r="C17" s="4">
        <v>5.6493000000000002E-2</v>
      </c>
      <c r="D17" s="5">
        <v>0.31700200000000001</v>
      </c>
      <c r="E17" s="26">
        <v>30</v>
      </c>
      <c r="F17" s="6" t="s">
        <v>33</v>
      </c>
      <c r="G17" s="6" t="s">
        <v>33</v>
      </c>
      <c r="H17" s="6" t="s">
        <v>33</v>
      </c>
      <c r="I17" s="6" t="s">
        <v>33</v>
      </c>
      <c r="J17" s="6" t="s">
        <v>33</v>
      </c>
      <c r="L17" s="1">
        <f>VLOOKUP(A17,'[1]AIM database for Grad Students '!$A:$GC,185,0)</f>
        <v>33</v>
      </c>
      <c r="M17" s="26">
        <f>VLOOKUP(A17,'[2]KM_45 participants'!$A:$BF,58,0)</f>
        <v>75</v>
      </c>
      <c r="N17" s="1">
        <f>VLOOKUP(A17,'[2]KM_45 participants'!$A:$W,21,0)</f>
        <v>40</v>
      </c>
      <c r="O17" s="1">
        <f>VLOOKUP(A17,'[2]KM_45 participants'!$A:$V,22,0)</f>
        <v>41</v>
      </c>
      <c r="P17" s="1">
        <f>VLOOKUP(A17,'[2]KM_45 participants'!$A:$W,23,0)</f>
        <v>81</v>
      </c>
      <c r="R17" s="3">
        <f>VLOOKUP(A17,[3]for_thesis!$B:$C,2,0)</f>
        <v>8.8206709762868499E-2</v>
      </c>
      <c r="S17" s="26">
        <f>VLOOKUP(A17,[4]ind_metrics!$A:$B,2,0)</f>
        <v>71.568345323740999</v>
      </c>
      <c r="T17" s="1">
        <f>VLOOKUP(A17,[4]ind_metrics!$A:$C,3,0)</f>
        <v>0.107372632017007</v>
      </c>
      <c r="U17" s="26">
        <f>VLOOKUP(A17,[4]ind_metrics!$A:$D,4,0)</f>
        <v>13.2607326570387</v>
      </c>
    </row>
    <row r="18" spans="1:21">
      <c r="A18" s="1">
        <v>855</v>
      </c>
      <c r="B18" s="2" t="s">
        <v>19</v>
      </c>
      <c r="C18" s="4">
        <v>0.27484799999999998</v>
      </c>
      <c r="D18" s="5">
        <v>1.2602549999999999</v>
      </c>
      <c r="E18" s="26">
        <v>3</v>
      </c>
      <c r="F18" s="6" t="s">
        <v>32</v>
      </c>
      <c r="G18" s="6" t="s">
        <v>32</v>
      </c>
      <c r="H18" s="6" t="s">
        <v>32</v>
      </c>
      <c r="I18" s="6" t="s">
        <v>32</v>
      </c>
      <c r="J18" s="6" t="s">
        <v>32</v>
      </c>
      <c r="L18" s="1">
        <f>VLOOKUP(A18,'[1]AIM database for Grad Students '!$A:$GC,185,0)</f>
        <v>19</v>
      </c>
      <c r="M18" s="26">
        <f>VLOOKUP(A18,'[2]KM_45 participants'!$A:$BF,58,0)</f>
        <v>99</v>
      </c>
      <c r="N18" s="1">
        <f>VLOOKUP(A18,'[2]KM_45 participants'!$A:$W,21,0)</f>
        <v>39</v>
      </c>
      <c r="O18" s="1">
        <f>VLOOKUP(A18,'[2]KM_45 participants'!$A:$V,22,0)</f>
        <v>42</v>
      </c>
      <c r="P18" s="1">
        <f>VLOOKUP(A18,'[2]KM_45 participants'!$A:$W,23,0)</f>
        <v>81</v>
      </c>
      <c r="R18" s="3">
        <f>VLOOKUP(A18,[3]for_thesis!$B:$C,2,0)</f>
        <v>7.9846299309570296E-2</v>
      </c>
      <c r="S18" s="26">
        <f>VLOOKUP(A18,[4]ind_metrics!$A:$B,2,0)</f>
        <v>81.021582733812906</v>
      </c>
      <c r="T18" s="1">
        <f>VLOOKUP(A18,[4]ind_metrics!$A:$C,3,0)</f>
        <v>6.2382000015705798E-2</v>
      </c>
      <c r="U18" s="26">
        <f>VLOOKUP(A18,[4]ind_metrics!$A:$D,4,0)</f>
        <v>11.317405625174001</v>
      </c>
    </row>
    <row r="19" spans="1:21">
      <c r="A19" s="1">
        <v>857</v>
      </c>
      <c r="B19" s="2" t="s">
        <v>18</v>
      </c>
      <c r="C19" s="4">
        <v>0.21937000000000001</v>
      </c>
      <c r="D19" s="5">
        <v>0.64447900000000002</v>
      </c>
      <c r="E19" s="26">
        <v>17</v>
      </c>
      <c r="F19" s="6" t="s">
        <v>32</v>
      </c>
      <c r="G19" s="6" t="s">
        <v>32</v>
      </c>
      <c r="H19" s="6" t="s">
        <v>33</v>
      </c>
      <c r="I19" s="6" t="s">
        <v>33</v>
      </c>
      <c r="J19" s="6" t="s">
        <v>33</v>
      </c>
      <c r="L19" s="1">
        <f>VLOOKUP(A19,'[1]AIM database for Grad Students '!$A:$GC,185,0)</f>
        <v>38</v>
      </c>
      <c r="M19" s="26">
        <f>VLOOKUP(A19,'[2]KM_45 participants'!$A:$BF,58,0)</f>
        <v>20</v>
      </c>
      <c r="N19" s="1">
        <f>VLOOKUP(A19,'[2]KM_45 participants'!$A:$W,21,0)</f>
        <v>32</v>
      </c>
      <c r="O19" s="1">
        <f>VLOOKUP(A19,'[2]KM_45 participants'!$A:$V,22,0)</f>
        <v>43</v>
      </c>
      <c r="P19" s="1">
        <f>VLOOKUP(A19,'[2]KM_45 participants'!$A:$W,23,0)</f>
        <v>75</v>
      </c>
      <c r="R19" s="3">
        <f>VLOOKUP(A19,[3]for_thesis!$B:$C,2,0)</f>
        <v>8.6182117906717703E-2</v>
      </c>
      <c r="S19" s="26">
        <f>VLOOKUP(A19,[4]ind_metrics!$A:$B,2,0)</f>
        <v>76.633093525179902</v>
      </c>
      <c r="T19" s="1">
        <f>VLOOKUP(A19,[4]ind_metrics!$A:$C,3,0)</f>
        <v>5.1060509317472601E-2</v>
      </c>
      <c r="U19" s="26">
        <f>VLOOKUP(A19,[4]ind_metrics!$A:$D,4,0)</f>
        <v>12.979314389033799</v>
      </c>
    </row>
    <row r="20" spans="1:21">
      <c r="A20" s="1">
        <v>858</v>
      </c>
      <c r="B20" s="2" t="s">
        <v>18</v>
      </c>
      <c r="C20" s="4">
        <v>0.27484799999999998</v>
      </c>
      <c r="D20" s="5">
        <v>1.2602549999999999</v>
      </c>
      <c r="E20" s="26">
        <v>23</v>
      </c>
      <c r="F20" s="6" t="s">
        <v>33</v>
      </c>
      <c r="G20" s="6" t="s">
        <v>33</v>
      </c>
      <c r="H20" s="6" t="s">
        <v>33</v>
      </c>
      <c r="I20" s="6" t="s">
        <v>33</v>
      </c>
      <c r="J20" s="6" t="s">
        <v>33</v>
      </c>
      <c r="L20" s="1">
        <f>VLOOKUP(A20,'[1]AIM database for Grad Students '!$A:$GC,185,0)</f>
        <v>44</v>
      </c>
      <c r="M20" s="26">
        <f>VLOOKUP(A20,'[2]KM_45 participants'!$A:$BF,58,0)</f>
        <v>25</v>
      </c>
      <c r="N20" s="1">
        <f>VLOOKUP(A20,'[2]KM_45 participants'!$A:$W,21,0)</f>
        <v>33</v>
      </c>
      <c r="O20" s="1">
        <f>VLOOKUP(A20,'[2]KM_45 participants'!$A:$V,22,0)</f>
        <v>33</v>
      </c>
      <c r="P20" s="1">
        <f>VLOOKUP(A20,'[2]KM_45 participants'!$A:$W,23,0)</f>
        <v>66</v>
      </c>
      <c r="R20" s="3">
        <f>VLOOKUP(A20,[3]for_thesis!$B:$C,2,0)</f>
        <v>8.1092191325955895E-2</v>
      </c>
      <c r="S20" s="26">
        <f>VLOOKUP(A20,[4]ind_metrics!$A:$B,2,0)</f>
        <v>74.374100719424504</v>
      </c>
      <c r="T20" s="1">
        <f>VLOOKUP(A20,[4]ind_metrics!$A:$C,3,0)</f>
        <v>7.1288232925418402E-2</v>
      </c>
      <c r="U20" s="26">
        <f>VLOOKUP(A20,[4]ind_metrics!$A:$D,4,0)</f>
        <v>11.7922622110709</v>
      </c>
    </row>
    <row r="21" spans="1:21">
      <c r="A21" s="1">
        <v>859</v>
      </c>
      <c r="B21" s="2" t="s">
        <v>19</v>
      </c>
      <c r="C21" s="4">
        <v>7.7620999999999996E-2</v>
      </c>
      <c r="D21" s="5">
        <v>0.41135100000000002</v>
      </c>
      <c r="E21" s="26">
        <v>0</v>
      </c>
      <c r="F21" s="6" t="s">
        <v>32</v>
      </c>
      <c r="G21" s="6" t="s">
        <v>32</v>
      </c>
      <c r="H21" s="6" t="s">
        <v>32</v>
      </c>
      <c r="I21" s="6" t="s">
        <v>32</v>
      </c>
      <c r="J21" s="6" t="s">
        <v>32</v>
      </c>
      <c r="L21" s="1">
        <f>VLOOKUP(A21,'[1]AIM database for Grad Students '!$A:$GC,185,0)</f>
        <v>14</v>
      </c>
      <c r="M21" s="26">
        <f>VLOOKUP(A21,'[2]KM_45 participants'!$A:$BF,58,0)</f>
        <v>99</v>
      </c>
      <c r="N21" s="1">
        <f>VLOOKUP(A21,'[2]KM_45 participants'!$A:$W,21,0)</f>
        <v>38</v>
      </c>
      <c r="O21" s="1">
        <f>VLOOKUP(A21,'[2]KM_45 participants'!$A:$V,22,0)</f>
        <v>34</v>
      </c>
      <c r="P21" s="1">
        <f>VLOOKUP(A21,'[2]KM_45 participants'!$A:$W,23,0)</f>
        <v>72</v>
      </c>
      <c r="R21" s="3">
        <f>VLOOKUP(A21,[3]for_thesis!$B:$C,2,0)</f>
        <v>0.47349830178226399</v>
      </c>
      <c r="S21" s="26">
        <f>VLOOKUP(A21,[4]ind_metrics!$A:$B,2,0)</f>
        <v>131.597122302158</v>
      </c>
      <c r="T21" s="1">
        <f>VLOOKUP(A21,[4]ind_metrics!$A:$C,3,0)</f>
        <v>7.2123363208373096E-3</v>
      </c>
      <c r="U21" s="26">
        <f>VLOOKUP(A21,[4]ind_metrics!$A:$D,4,0)</f>
        <v>66.816263947734697</v>
      </c>
    </row>
    <row r="22" spans="1:21">
      <c r="A22" s="1">
        <v>860</v>
      </c>
      <c r="B22" s="2" t="s">
        <v>18</v>
      </c>
      <c r="C22" s="4">
        <v>0.27484799999999998</v>
      </c>
      <c r="D22" s="5">
        <v>1.2602549999999999</v>
      </c>
      <c r="E22" s="26">
        <v>28</v>
      </c>
      <c r="F22" s="6" t="s">
        <v>33</v>
      </c>
      <c r="G22" s="6" t="s">
        <v>33</v>
      </c>
      <c r="H22" s="6" t="s">
        <v>33</v>
      </c>
      <c r="I22" s="6" t="s">
        <v>33</v>
      </c>
      <c r="J22" s="6" t="s">
        <v>33</v>
      </c>
      <c r="L22" s="1">
        <f>VLOOKUP(A22,'[1]AIM database for Grad Students '!$A:$GC,185,0)</f>
        <v>29</v>
      </c>
      <c r="M22" s="26">
        <f>VLOOKUP(A22,'[2]KM_45 participants'!$A:$BF,58,0)</f>
        <v>41</v>
      </c>
      <c r="N22" s="1">
        <f>VLOOKUP(A22,'[2]KM_45 participants'!$A:$W,21,0)</f>
        <v>27</v>
      </c>
      <c r="O22" s="1">
        <f>VLOOKUP(A22,'[2]KM_45 participants'!$A:$V,22,0)</f>
        <v>40</v>
      </c>
      <c r="P22" s="1">
        <f>VLOOKUP(A22,'[2]KM_45 participants'!$A:$W,23,0)</f>
        <v>67</v>
      </c>
      <c r="R22" s="3">
        <f>VLOOKUP(A22,[3]for_thesis!$B:$C,2,0)</f>
        <v>8.1162503995254404E-2</v>
      </c>
      <c r="S22" s="26">
        <f>VLOOKUP(A22,[4]ind_metrics!$A:$B,2,0)</f>
        <v>73.669064748201393</v>
      </c>
      <c r="T22" s="1">
        <f>VLOOKUP(A22,[4]ind_metrics!$A:$C,3,0)</f>
        <v>7.5277481079101496E-2</v>
      </c>
      <c r="U22" s="26">
        <f>VLOOKUP(A22,[4]ind_metrics!$A:$D,4,0)</f>
        <v>11.801619866246099</v>
      </c>
    </row>
    <row r="23" spans="1:21">
      <c r="A23" s="1">
        <v>864</v>
      </c>
      <c r="B23" s="2" t="s">
        <v>19</v>
      </c>
      <c r="C23" s="4">
        <v>0.115324</v>
      </c>
      <c r="D23" s="5">
        <v>0.238621</v>
      </c>
      <c r="E23" s="26">
        <v>0</v>
      </c>
      <c r="F23" s="6" t="s">
        <v>32</v>
      </c>
      <c r="G23" s="6" t="s">
        <v>32</v>
      </c>
      <c r="H23" s="6" t="s">
        <v>32</v>
      </c>
      <c r="I23" s="6" t="s">
        <v>32</v>
      </c>
      <c r="J23" s="6" t="s">
        <v>32</v>
      </c>
      <c r="L23" s="1">
        <f>VLOOKUP(A23,'[1]AIM database for Grad Students '!$A:$GC,185,0)</f>
        <v>17</v>
      </c>
      <c r="M23" s="26">
        <f>VLOOKUP(A23,'[2]KM_45 participants'!$A:$BF,58,0)</f>
        <v>97</v>
      </c>
      <c r="N23" s="1">
        <f>VLOOKUP(A23,'[2]KM_45 participants'!$A:$W,21,0)</f>
        <v>46</v>
      </c>
      <c r="O23" s="1">
        <f>VLOOKUP(A23,'[2]KM_45 participants'!$A:$V,22,0)</f>
        <v>37</v>
      </c>
      <c r="P23" s="1">
        <f>VLOOKUP(A23,'[2]KM_45 participants'!$A:$W,23,0)</f>
        <v>83</v>
      </c>
      <c r="R23" s="3">
        <f>VLOOKUP(A23,[3]for_thesis!$B:$C,2,0)</f>
        <v>8.9724349199762202E-2</v>
      </c>
      <c r="S23" s="26">
        <f>VLOOKUP(A23,[4]ind_metrics!$A:$B,2,0)</f>
        <v>75.5539568345324</v>
      </c>
      <c r="T23" s="1">
        <f>VLOOKUP(A23,[4]ind_metrics!$A:$C,3,0)</f>
        <v>0.102169981424945</v>
      </c>
      <c r="U23" s="26">
        <f>VLOOKUP(A23,[4]ind_metrics!$A:$D,4,0)</f>
        <v>12.9410844305496</v>
      </c>
    </row>
    <row r="24" spans="1:21">
      <c r="A24" s="1">
        <v>867</v>
      </c>
      <c r="B24" s="2" t="s">
        <v>19</v>
      </c>
      <c r="C24" s="4">
        <v>9.0104000000000004E-2</v>
      </c>
      <c r="D24" s="5">
        <v>0.83613499999999996</v>
      </c>
      <c r="E24" s="26">
        <v>0</v>
      </c>
      <c r="F24" s="6" t="s">
        <v>32</v>
      </c>
      <c r="G24" s="6" t="s">
        <v>32</v>
      </c>
      <c r="H24" s="6" t="s">
        <v>32</v>
      </c>
      <c r="I24" s="6" t="s">
        <v>32</v>
      </c>
      <c r="J24" s="6" t="s">
        <v>32</v>
      </c>
      <c r="L24" s="1">
        <f>VLOOKUP(A24,'[1]AIM database for Grad Students '!$A:$GC,185,0)</f>
        <v>15</v>
      </c>
      <c r="M24" s="26">
        <f>VLOOKUP(A24,'[2]KM_45 participants'!$A:$BF,58,0)</f>
        <v>103</v>
      </c>
      <c r="N24" s="1">
        <f>VLOOKUP(A24,'[2]KM_45 participants'!$A:$W,21,0)</f>
        <v>29</v>
      </c>
      <c r="O24" s="1">
        <f>VLOOKUP(A24,'[2]KM_45 participants'!$A:$V,22,0)</f>
        <v>35</v>
      </c>
      <c r="P24" s="1">
        <f>VLOOKUP(A24,'[2]KM_45 participants'!$A:$W,23,0)</f>
        <v>64</v>
      </c>
      <c r="R24" s="3">
        <f>VLOOKUP(A24,[3]for_thesis!$B:$C,2,0)</f>
        <v>9.8601803794156104E-2</v>
      </c>
      <c r="S24" s="26">
        <f>VLOOKUP(A24,[4]ind_metrics!$A:$B,2,0)</f>
        <v>74.028776978417298</v>
      </c>
      <c r="T24" s="1">
        <f>VLOOKUP(A24,[4]ind_metrics!$A:$C,3,0)</f>
        <v>0.111768641372973</v>
      </c>
      <c r="U24" s="26">
        <f>VLOOKUP(A24,[4]ind_metrics!$A:$D,4,0)</f>
        <v>14.705650727387701</v>
      </c>
    </row>
    <row r="25" spans="1:21">
      <c r="A25" s="1">
        <v>868</v>
      </c>
      <c r="B25" s="2" t="s">
        <v>19</v>
      </c>
      <c r="C25" s="10">
        <v>0.27484799999999998</v>
      </c>
      <c r="D25" s="11">
        <v>1.2602549999999999</v>
      </c>
      <c r="E25" s="26">
        <v>1</v>
      </c>
      <c r="F25" s="6" t="s">
        <v>32</v>
      </c>
      <c r="G25" s="6" t="s">
        <v>32</v>
      </c>
      <c r="H25" s="6" t="s">
        <v>32</v>
      </c>
      <c r="I25" s="6" t="s">
        <v>32</v>
      </c>
      <c r="J25" s="6" t="s">
        <v>32</v>
      </c>
      <c r="L25" s="1">
        <f>VLOOKUP(A25,'[1]AIM database for Grad Students '!$A:$GC,185,0)</f>
        <v>16</v>
      </c>
      <c r="M25" s="26">
        <f>VLOOKUP(A25,'[2]KM_45 participants'!$A:$BF,58,0)</f>
        <v>104</v>
      </c>
      <c r="N25" s="1">
        <f>VLOOKUP(A25,'[2]KM_45 participants'!$A:$W,21,0)</f>
        <v>48</v>
      </c>
      <c r="O25" s="1">
        <f>VLOOKUP(A25,'[2]KM_45 participants'!$A:$V,22,0)</f>
        <v>42</v>
      </c>
      <c r="P25" s="1">
        <f>VLOOKUP(A25,'[2]KM_45 participants'!$A:$W,23,0)</f>
        <v>90</v>
      </c>
      <c r="R25" s="3">
        <f>VLOOKUP(A25,[3]for_thesis!$B:$C,2,0)</f>
        <v>7.9537456914692398E-2</v>
      </c>
      <c r="S25" s="26">
        <f>VLOOKUP(A25,[4]ind_metrics!$A:$B,2,0)</f>
        <v>79.381294964028797</v>
      </c>
      <c r="T25" s="1">
        <f>VLOOKUP(A25,[4]ind_metrics!$A:$C,3,0)</f>
        <v>6.7503942286055704E-2</v>
      </c>
      <c r="U25" s="26">
        <f>VLOOKUP(A25,[4]ind_metrics!$A:$D,4,0)</f>
        <v>11.5853483126971</v>
      </c>
    </row>
    <row r="26" spans="1:21">
      <c r="A26" s="1">
        <v>878</v>
      </c>
      <c r="B26" s="2" t="s">
        <v>18</v>
      </c>
      <c r="C26" s="4">
        <v>0.22361500000000001</v>
      </c>
      <c r="D26" s="5">
        <v>0.67953799999999998</v>
      </c>
      <c r="E26" s="26">
        <v>10</v>
      </c>
      <c r="F26" s="6" t="s">
        <v>32</v>
      </c>
      <c r="G26" s="6" t="s">
        <v>33</v>
      </c>
      <c r="H26" s="6" t="s">
        <v>33</v>
      </c>
      <c r="I26" s="6" t="s">
        <v>32</v>
      </c>
      <c r="J26" s="6" t="s">
        <v>33</v>
      </c>
      <c r="L26" s="1">
        <f>VLOOKUP(A26,'[1]AIM database for Grad Students '!$A:$GC,185,0)</f>
        <v>0</v>
      </c>
      <c r="M26" s="26">
        <f>VLOOKUP(A26,'[2]KM_45 participants'!$A:$BF,58,0)</f>
        <v>96</v>
      </c>
      <c r="N26" s="1">
        <f>VLOOKUP(A26,'[2]KM_45 participants'!$A:$W,21,0)</f>
        <v>32</v>
      </c>
      <c r="O26" s="1">
        <f>VLOOKUP(A26,'[2]KM_45 participants'!$A:$V,22,0)</f>
        <v>33</v>
      </c>
      <c r="P26" s="1">
        <f>VLOOKUP(A26,'[2]KM_45 participants'!$A:$W,23,0)</f>
        <v>65</v>
      </c>
      <c r="R26" s="3">
        <f>VLOOKUP(A26,[3]for_thesis!$B:$C,2,0)</f>
        <v>7.8914186273168901E-2</v>
      </c>
      <c r="S26" s="26">
        <f>VLOOKUP(A26,[4]ind_metrics!$A:$B,2,0)</f>
        <v>69.726618705036003</v>
      </c>
      <c r="T26" s="1">
        <f>VLOOKUP(A26,[4]ind_metrics!$A:$C,3,0)</f>
        <v>0.10325265388152401</v>
      </c>
      <c r="U26" s="26">
        <f>VLOOKUP(A26,[4]ind_metrics!$A:$D,4,0)</f>
        <v>11.8123789753417</v>
      </c>
    </row>
    <row r="27" spans="1:21">
      <c r="A27" s="1">
        <v>879</v>
      </c>
      <c r="B27" s="2" t="s">
        <v>18</v>
      </c>
      <c r="C27" s="4">
        <v>0.13429199999999999</v>
      </c>
      <c r="D27" s="5">
        <v>0.29713400000000001</v>
      </c>
      <c r="E27" s="26">
        <v>20</v>
      </c>
      <c r="F27" s="6" t="s">
        <v>33</v>
      </c>
      <c r="G27" s="6" t="s">
        <v>33</v>
      </c>
      <c r="H27" s="6" t="s">
        <v>33</v>
      </c>
      <c r="I27" s="6" t="s">
        <v>33</v>
      </c>
      <c r="J27" s="6" t="s">
        <v>33</v>
      </c>
      <c r="L27" s="1">
        <f>VLOOKUP(A27,'[1]AIM database for Grad Students '!$A:$GC,185,0)</f>
        <v>30</v>
      </c>
      <c r="M27" s="26">
        <f>VLOOKUP(A27,'[2]KM_45 participants'!$A:$BF,58,0)</f>
        <v>63</v>
      </c>
      <c r="N27" s="1">
        <f>VLOOKUP(A27,'[2]KM_45 participants'!$A:$W,21,0)</f>
        <v>44</v>
      </c>
      <c r="O27" s="1">
        <f>VLOOKUP(A27,'[2]KM_45 participants'!$A:$V,22,0)</f>
        <v>33</v>
      </c>
      <c r="P27" s="1">
        <f>VLOOKUP(A27,'[2]KM_45 participants'!$A:$W,23,0)</f>
        <v>77</v>
      </c>
      <c r="R27" s="3">
        <f>VLOOKUP(A27,[3]for_thesis!$B:$C,2,0)</f>
        <v>7.6807686363118896E-2</v>
      </c>
      <c r="S27" s="26">
        <f>VLOOKUP(A27,[4]ind_metrics!$A:$B,2,0)</f>
        <v>73.525179856115102</v>
      </c>
      <c r="T27" s="1">
        <f>VLOOKUP(A27,[4]ind_metrics!$A:$C,3,0)</f>
        <v>8.1606649790710098E-2</v>
      </c>
      <c r="U27" s="26">
        <f>VLOOKUP(A27,[4]ind_metrics!$A:$D,4,0)</f>
        <v>11.6762684044735</v>
      </c>
    </row>
    <row r="28" spans="1:21">
      <c r="A28" s="1">
        <v>882</v>
      </c>
      <c r="B28" s="2" t="s">
        <v>19</v>
      </c>
      <c r="C28" s="4">
        <v>0.162412</v>
      </c>
      <c r="D28" s="5">
        <v>0.45156000000000002</v>
      </c>
      <c r="E28" s="26">
        <v>0</v>
      </c>
      <c r="F28" s="6" t="s">
        <v>32</v>
      </c>
      <c r="G28" s="6" t="s">
        <v>32</v>
      </c>
      <c r="H28" s="6" t="s">
        <v>32</v>
      </c>
      <c r="I28" s="6" t="s">
        <v>32</v>
      </c>
      <c r="J28" s="6" t="s">
        <v>32</v>
      </c>
      <c r="L28" s="1">
        <f>VLOOKUP(A28,'[1]AIM database for Grad Students '!$A:$GC,185,0)</f>
        <v>19</v>
      </c>
      <c r="M28" s="26">
        <f>VLOOKUP(A28,'[2]KM_45 participants'!$A:$BF,58,0)</f>
        <v>96</v>
      </c>
      <c r="N28" s="1">
        <f>VLOOKUP(A28,'[2]KM_45 participants'!$A:$W,21,0)</f>
        <v>43</v>
      </c>
      <c r="O28" s="1">
        <f>VLOOKUP(A28,'[2]KM_45 participants'!$A:$V,22,0)</f>
        <v>41</v>
      </c>
      <c r="P28" s="1">
        <f>VLOOKUP(A28,'[2]KM_45 participants'!$A:$W,23,0)</f>
        <v>84</v>
      </c>
      <c r="R28" s="3">
        <f>VLOOKUP(A28,[3]for_thesis!$B:$C,2,0)</f>
        <v>9.1906531022120402E-2</v>
      </c>
      <c r="S28" s="26">
        <f>VLOOKUP(A28,[4]ind_metrics!$A:$B,2,0)</f>
        <v>71.064748201438803</v>
      </c>
      <c r="T28" s="1">
        <f>VLOOKUP(A28,[4]ind_metrics!$A:$C,3,0)</f>
        <v>0.101310968507019</v>
      </c>
      <c r="U28" s="26">
        <f>VLOOKUP(A28,[4]ind_metrics!$A:$D,4,0)</f>
        <v>13.775007812074699</v>
      </c>
    </row>
    <row r="29" spans="1:21">
      <c r="A29" s="1">
        <v>883</v>
      </c>
      <c r="B29" s="2" t="s">
        <v>19</v>
      </c>
      <c r="C29" s="4">
        <v>0.13930100000000001</v>
      </c>
      <c r="D29" s="5">
        <v>0.436531</v>
      </c>
      <c r="E29" s="26">
        <v>0</v>
      </c>
      <c r="F29" s="6" t="s">
        <v>32</v>
      </c>
      <c r="G29" s="6" t="s">
        <v>32</v>
      </c>
      <c r="H29" s="6" t="s">
        <v>32</v>
      </c>
      <c r="I29" s="6" t="s">
        <v>32</v>
      </c>
      <c r="J29" s="6" t="s">
        <v>32</v>
      </c>
      <c r="L29" s="1">
        <f>VLOOKUP(A29,'[1]AIM database for Grad Students '!$A:$GC,185,0)</f>
        <v>19</v>
      </c>
      <c r="M29" s="26">
        <f>VLOOKUP(A29,'[2]KM_45 participants'!$A:$BF,58,0)</f>
        <v>84</v>
      </c>
      <c r="N29" s="1">
        <f>VLOOKUP(A29,'[2]KM_45 participants'!$A:$W,21,0)</f>
        <v>45</v>
      </c>
      <c r="O29" s="1">
        <f>VLOOKUP(A29,'[2]KM_45 participants'!$A:$V,22,0)</f>
        <v>36</v>
      </c>
      <c r="P29" s="1">
        <f>VLOOKUP(A29,'[2]KM_45 participants'!$A:$W,23,0)</f>
        <v>81</v>
      </c>
      <c r="R29" s="3">
        <f>VLOOKUP(A29,[3]for_thesis!$B:$C,2,0)</f>
        <v>9.0055094015433407E-2</v>
      </c>
      <c r="S29" s="26">
        <f>VLOOKUP(A29,[4]ind_metrics!$A:$B,2,0)</f>
        <v>78.100719424460394</v>
      </c>
      <c r="T29" s="1">
        <f>VLOOKUP(A29,[4]ind_metrics!$A:$C,3,0)</f>
        <v>7.2192536964097304E-2</v>
      </c>
      <c r="U29" s="26">
        <f>VLOOKUP(A29,[4]ind_metrics!$A:$D,4,0)</f>
        <v>12.6365434792173</v>
      </c>
    </row>
    <row r="30" spans="1:21">
      <c r="A30" s="1">
        <v>884</v>
      </c>
      <c r="B30" s="2" t="s">
        <v>18</v>
      </c>
      <c r="C30" s="4">
        <v>0.10457900000000001</v>
      </c>
      <c r="D30" s="5">
        <v>0.81499299999999997</v>
      </c>
      <c r="E30" s="26">
        <v>25</v>
      </c>
      <c r="F30" s="6" t="s">
        <v>33</v>
      </c>
      <c r="G30" s="6" t="s">
        <v>33</v>
      </c>
      <c r="H30" s="6" t="s">
        <v>33</v>
      </c>
      <c r="I30" s="6" t="s">
        <v>33</v>
      </c>
      <c r="J30" s="6" t="s">
        <v>33</v>
      </c>
      <c r="L30" s="1">
        <f>VLOOKUP(A30,'[1]AIM database for Grad Students '!$A:$GC,185,0)</f>
        <v>28</v>
      </c>
      <c r="M30" s="26">
        <f>VLOOKUP(A30,'[2]KM_45 participants'!$A:$BF,58,0)</f>
        <v>88</v>
      </c>
      <c r="N30" s="1">
        <f>VLOOKUP(A30,'[2]KM_45 participants'!$A:$W,21,0)</f>
        <v>47</v>
      </c>
      <c r="O30" s="1">
        <f>VLOOKUP(A30,'[2]KM_45 participants'!$A:$V,22,0)</f>
        <v>36</v>
      </c>
      <c r="P30" s="1">
        <f>VLOOKUP(A30,'[2]KM_45 participants'!$A:$W,23,0)</f>
        <v>83</v>
      </c>
      <c r="R30" s="3">
        <f>VLOOKUP(A30,[3]for_thesis!$B:$C,2,0)</f>
        <v>9.4047984726505399E-2</v>
      </c>
      <c r="S30" s="26">
        <f>VLOOKUP(A30,[4]ind_metrics!$A:$B,2,0)</f>
        <v>69.223021582733793</v>
      </c>
      <c r="T30" s="1">
        <f>VLOOKUP(A30,[4]ind_metrics!$A:$C,3,0)</f>
        <v>8.8590046514429199E-2</v>
      </c>
      <c r="U30" s="26">
        <f>VLOOKUP(A30,[4]ind_metrics!$A:$D,4,0)</f>
        <v>13.8859271159446</v>
      </c>
    </row>
    <row r="31" spans="1:21">
      <c r="A31" s="1">
        <v>890</v>
      </c>
      <c r="B31" s="2" t="s">
        <v>19</v>
      </c>
      <c r="C31" s="4">
        <v>0.12049799999999999</v>
      </c>
      <c r="D31" s="5">
        <v>0.41639900000000002</v>
      </c>
      <c r="E31" s="26">
        <v>0</v>
      </c>
      <c r="F31" s="6" t="s">
        <v>32</v>
      </c>
      <c r="G31" s="6" t="s">
        <v>32</v>
      </c>
      <c r="H31" s="6" t="s">
        <v>32</v>
      </c>
      <c r="I31" s="6" t="s">
        <v>32</v>
      </c>
      <c r="J31" s="6" t="s">
        <v>32</v>
      </c>
      <c r="L31" s="1">
        <f>VLOOKUP(A31,'[1]AIM database for Grad Students '!$A:$GC,185,0)</f>
        <v>17</v>
      </c>
      <c r="M31" s="26">
        <f>VLOOKUP(A31,'[2]KM_45 participants'!$A:$BF,58,0)</f>
        <v>103</v>
      </c>
      <c r="N31" s="1">
        <f>VLOOKUP(A31,'[2]KM_45 participants'!$A:$W,21,0)</f>
        <v>43</v>
      </c>
      <c r="O31" s="1">
        <f>VLOOKUP(A31,'[2]KM_45 participants'!$A:$V,22,0)</f>
        <v>34</v>
      </c>
      <c r="P31" s="1">
        <f>VLOOKUP(A31,'[2]KM_45 participants'!$A:$W,23,0)</f>
        <v>77</v>
      </c>
      <c r="R31" s="3">
        <f>VLOOKUP(A31,[3]for_thesis!$B:$C,2,0)</f>
        <v>7.9461484952729297E-2</v>
      </c>
      <c r="S31" s="26">
        <f>VLOOKUP(A31,[4]ind_metrics!$A:$B,2,0)</f>
        <v>72.589928057554005</v>
      </c>
      <c r="T31" s="1">
        <f>VLOOKUP(A31,[4]ind_metrics!$A:$C,3,0)</f>
        <v>8.3379161383033307E-2</v>
      </c>
      <c r="U31" s="26">
        <f>VLOOKUP(A31,[4]ind_metrics!$A:$D,4,0)</f>
        <v>11.8873667692427</v>
      </c>
    </row>
    <row r="32" spans="1:21">
      <c r="A32" s="1">
        <v>893</v>
      </c>
      <c r="B32" s="2" t="s">
        <v>17</v>
      </c>
      <c r="C32" s="4">
        <v>0.15617700000000001</v>
      </c>
      <c r="D32" s="5">
        <v>1.9707129999999999</v>
      </c>
      <c r="E32" s="26">
        <v>27</v>
      </c>
      <c r="F32" s="6" t="s">
        <v>33</v>
      </c>
      <c r="G32" s="6" t="s">
        <v>33</v>
      </c>
      <c r="H32" s="6" t="s">
        <v>33</v>
      </c>
      <c r="I32" s="6" t="s">
        <v>33</v>
      </c>
      <c r="J32" s="6" t="s">
        <v>33</v>
      </c>
      <c r="L32" s="7">
        <v>42</v>
      </c>
      <c r="M32" s="26">
        <f>VLOOKUP(A32,'[2]KM_45 participants'!$A:$BF,58,0)</f>
        <v>30</v>
      </c>
      <c r="N32" s="1">
        <f>VLOOKUP(A32,'[2]KM_45 participants'!$A:$W,21,0)</f>
        <v>32</v>
      </c>
      <c r="O32" s="1">
        <f>VLOOKUP(A32,'[2]KM_45 participants'!$A:$V,22,0)</f>
        <v>28</v>
      </c>
      <c r="P32" s="1">
        <f>VLOOKUP(A32,'[2]KM_45 participants'!$A:$W,23,0)</f>
        <v>60</v>
      </c>
      <c r="R32" s="3">
        <f>VLOOKUP(A32,[3]for_thesis!$B:$C,2,0)</f>
        <v>0.101774524080032</v>
      </c>
      <c r="S32" s="26">
        <f>VLOOKUP(A32,[4]ind_metrics!$A:$B,2,0)</f>
        <v>75.079136690647502</v>
      </c>
      <c r="T32" s="1">
        <f>VLOOKUP(A32,[4]ind_metrics!$A:$C,3,0)</f>
        <v>0.104613882628475</v>
      </c>
      <c r="U32" s="26">
        <f>VLOOKUP(A32,[4]ind_metrics!$A:$D,4,0)</f>
        <v>14.9445741806058</v>
      </c>
    </row>
    <row r="33" spans="1:21">
      <c r="A33" s="1">
        <v>894</v>
      </c>
      <c r="B33" s="2" t="s">
        <v>19</v>
      </c>
      <c r="C33" s="4">
        <v>0.122187</v>
      </c>
      <c r="D33" s="5">
        <v>0.39200000000000002</v>
      </c>
      <c r="E33" s="26">
        <v>0</v>
      </c>
      <c r="F33" s="6" t="s">
        <v>32</v>
      </c>
      <c r="G33" s="6" t="s">
        <v>32</v>
      </c>
      <c r="H33" s="6" t="s">
        <v>32</v>
      </c>
      <c r="I33" s="6" t="s">
        <v>32</v>
      </c>
      <c r="J33" s="6" t="s">
        <v>32</v>
      </c>
      <c r="L33" s="1">
        <f>VLOOKUP(A33,'[1]AIM database for Grad Students '!$A:$GC,185,0)</f>
        <v>24</v>
      </c>
      <c r="M33" s="26">
        <f>VLOOKUP(A33,'[2]KM_45 participants'!$A:$BF,58,0)</f>
        <v>75</v>
      </c>
      <c r="N33" s="1">
        <f>VLOOKUP(A33,'[2]KM_45 participants'!$A:$W,21,0)</f>
        <v>44</v>
      </c>
      <c r="O33" s="1">
        <f>VLOOKUP(A33,'[2]KM_45 participants'!$A:$V,22,0)</f>
        <v>40</v>
      </c>
      <c r="P33" s="1">
        <f>VLOOKUP(A33,'[2]KM_45 participants'!$A:$W,23,0)</f>
        <v>84</v>
      </c>
      <c r="R33" s="3">
        <f>VLOOKUP(A33,[3]for_thesis!$B:$C,2,0)</f>
        <v>0.101054238519177</v>
      </c>
      <c r="S33" s="26">
        <f>VLOOKUP(A33,[4]ind_metrics!$A:$B,2,0)</f>
        <v>71.525179856115102</v>
      </c>
      <c r="T33" s="1">
        <f>VLOOKUP(A33,[4]ind_metrics!$A:$C,3,0)</f>
        <v>0.130026392060068</v>
      </c>
      <c r="U33" s="26">
        <f>VLOOKUP(A33,[4]ind_metrics!$A:$D,4,0)</f>
        <v>14.448937829973101</v>
      </c>
    </row>
    <row r="34" spans="1:21">
      <c r="A34" s="1">
        <v>895</v>
      </c>
      <c r="B34" s="2" t="s">
        <v>19</v>
      </c>
      <c r="C34" s="4">
        <v>9.8114000000000007E-2</v>
      </c>
      <c r="D34" s="5">
        <v>0.42438900000000002</v>
      </c>
      <c r="E34" s="26">
        <v>0</v>
      </c>
      <c r="F34" s="6" t="s">
        <v>32</v>
      </c>
      <c r="G34" s="6" t="s">
        <v>32</v>
      </c>
      <c r="H34" s="6" t="s">
        <v>32</v>
      </c>
      <c r="I34" s="6" t="s">
        <v>32</v>
      </c>
      <c r="J34" s="6" t="s">
        <v>32</v>
      </c>
      <c r="L34" s="1">
        <f>VLOOKUP(A34,'[1]AIM database for Grad Students '!$A:$GC,185,0)</f>
        <v>15</v>
      </c>
      <c r="M34" s="26">
        <f>VLOOKUP(A34,'[2]KM_45 participants'!$A:$BF,58,0)</f>
        <v>95</v>
      </c>
      <c r="N34" s="1">
        <f>VLOOKUP(A34,'[2]KM_45 participants'!$A:$W,21,0)</f>
        <v>45</v>
      </c>
      <c r="O34" s="1">
        <f>VLOOKUP(A34,'[2]KM_45 participants'!$A:$V,22,0)</f>
        <v>39</v>
      </c>
      <c r="P34" s="1">
        <f>VLOOKUP(A34,'[2]KM_45 participants'!$A:$W,23,0)</f>
        <v>84</v>
      </c>
      <c r="R34" s="3">
        <f>VLOOKUP(A34,[3]for_thesis!$B:$C,2,0)</f>
        <v>0.102815231836015</v>
      </c>
      <c r="S34" s="26">
        <f>VLOOKUP(A34,[4]ind_metrics!$A:$B,2,0)</f>
        <v>76.532374100719395</v>
      </c>
      <c r="T34" s="1">
        <f>VLOOKUP(A34,[4]ind_metrics!$A:$C,3,0)</f>
        <v>0.108701345950151</v>
      </c>
      <c r="U34" s="26">
        <f>VLOOKUP(A34,[4]ind_metrics!$A:$D,4,0)</f>
        <v>15.087166117387801</v>
      </c>
    </row>
    <row r="35" spans="1:21">
      <c r="A35" s="1">
        <v>899</v>
      </c>
      <c r="B35" s="2" t="s">
        <v>19</v>
      </c>
      <c r="C35" s="4">
        <v>0.120616</v>
      </c>
      <c r="D35" s="5">
        <v>0.68766899999999997</v>
      </c>
      <c r="E35" s="26">
        <v>2</v>
      </c>
      <c r="F35" s="6" t="s">
        <v>32</v>
      </c>
      <c r="G35" s="6" t="s">
        <v>32</v>
      </c>
      <c r="H35" s="6" t="s">
        <v>32</v>
      </c>
      <c r="I35" s="6" t="s">
        <v>32</v>
      </c>
      <c r="J35" s="6" t="s">
        <v>32</v>
      </c>
      <c r="L35" s="1">
        <f>VLOOKUP(A35,'[1]AIM database for Grad Students '!$A:$GC,185,0)</f>
        <v>17</v>
      </c>
      <c r="M35" s="26">
        <f>VLOOKUP(A35,'[2]KM_45 participants'!$A:$BF,58,0)</f>
        <v>103</v>
      </c>
      <c r="N35" s="1">
        <f>VLOOKUP(A35,'[2]KM_45 participants'!$A:$W,21,0)</f>
        <v>42</v>
      </c>
      <c r="O35" s="1">
        <f>VLOOKUP(A35,'[2]KM_45 participants'!$A:$V,22,0)</f>
        <v>39</v>
      </c>
      <c r="P35" s="1">
        <f>VLOOKUP(A35,'[2]KM_45 participants'!$A:$W,23,0)</f>
        <v>81</v>
      </c>
      <c r="R35" s="3">
        <f>VLOOKUP(A35,[3]for_thesis!$B:$C,2,0)</f>
        <v>0.101420702043029</v>
      </c>
      <c r="S35" s="26">
        <f>VLOOKUP(A35,[4]ind_metrics!$A:$B,2,0)</f>
        <v>74.043165467625897</v>
      </c>
      <c r="T35" s="1">
        <f>VLOOKUP(A35,[4]ind_metrics!$A:$C,3,0)</f>
        <v>0.112022265056616</v>
      </c>
      <c r="U35" s="26">
        <f>VLOOKUP(A35,[4]ind_metrics!$A:$D,4,0)</f>
        <v>15.097477583981</v>
      </c>
    </row>
    <row r="36" spans="1:21">
      <c r="A36" s="1">
        <v>901</v>
      </c>
      <c r="B36" s="2" t="s">
        <v>19</v>
      </c>
      <c r="C36" s="4">
        <v>9.9429000000000003E-2</v>
      </c>
      <c r="D36" s="5">
        <v>0.35397499999999998</v>
      </c>
      <c r="E36" s="26">
        <v>0</v>
      </c>
      <c r="F36" s="6" t="s">
        <v>32</v>
      </c>
      <c r="G36" s="6" t="s">
        <v>32</v>
      </c>
      <c r="H36" s="6" t="s">
        <v>32</v>
      </c>
      <c r="I36" s="6" t="s">
        <v>32</v>
      </c>
      <c r="J36" s="6" t="s">
        <v>32</v>
      </c>
      <c r="L36" s="1">
        <f>VLOOKUP(A36,'[1]AIM database for Grad Students '!$A:$GC,185,0)</f>
        <v>19</v>
      </c>
      <c r="M36" s="26">
        <f>VLOOKUP(A36,'[2]KM_45 participants'!$A:$BF,58,0)</f>
        <v>88</v>
      </c>
      <c r="N36" s="1">
        <f>VLOOKUP(A36,'[2]KM_45 participants'!$A:$W,21,0)</f>
        <v>42</v>
      </c>
      <c r="O36" s="1">
        <f>VLOOKUP(A36,'[2]KM_45 participants'!$A:$V,22,0)</f>
        <v>41</v>
      </c>
      <c r="P36" s="1">
        <f>VLOOKUP(A36,'[2]KM_45 participants'!$A:$W,23,0)</f>
        <v>83</v>
      </c>
      <c r="R36" s="3">
        <f>VLOOKUP(A36,[3]for_thesis!$B:$C,2,0)</f>
        <v>9.1887283225230001E-2</v>
      </c>
      <c r="S36" s="26">
        <f>VLOOKUP(A36,[4]ind_metrics!$A:$B,2,0)</f>
        <v>72.805755395683406</v>
      </c>
      <c r="T36" s="1">
        <f>VLOOKUP(A36,[4]ind_metrics!$A:$C,3,0)</f>
        <v>9.9759857988720405E-2</v>
      </c>
      <c r="U36" s="26">
        <f>VLOOKUP(A36,[4]ind_metrics!$A:$D,4,0)</f>
        <v>13.772332368307</v>
      </c>
    </row>
    <row r="37" spans="1:21">
      <c r="A37" s="1">
        <v>904</v>
      </c>
      <c r="B37" s="2" t="s">
        <v>18</v>
      </c>
      <c r="C37" s="4">
        <v>0.21119299999999999</v>
      </c>
      <c r="D37" s="5">
        <v>0.57244200000000001</v>
      </c>
      <c r="E37" s="26">
        <v>21</v>
      </c>
      <c r="F37" s="6" t="s">
        <v>33</v>
      </c>
      <c r="G37" s="6" t="s">
        <v>33</v>
      </c>
      <c r="H37" s="6" t="s">
        <v>33</v>
      </c>
      <c r="I37" s="6" t="s">
        <v>33</v>
      </c>
      <c r="J37" s="6" t="s">
        <v>33</v>
      </c>
      <c r="L37" s="1">
        <f>VLOOKUP(A37,'[1]AIM database for Grad Students '!$A:$GC,185,0)</f>
        <v>36</v>
      </c>
      <c r="M37" s="26">
        <f>VLOOKUP(A37,'[2]KM_45 participants'!$A:$BF,58,0)</f>
        <v>90</v>
      </c>
      <c r="N37" s="1">
        <f>VLOOKUP(A37,'[2]KM_45 participants'!$A:$W,21,0)</f>
        <v>22</v>
      </c>
      <c r="O37" s="1">
        <f>VLOOKUP(A37,'[2]KM_45 participants'!$A:$V,22,0)</f>
        <v>27</v>
      </c>
      <c r="P37" s="1">
        <f>VLOOKUP(A37,'[2]KM_45 participants'!$A:$W,23,0)</f>
        <v>49</v>
      </c>
      <c r="R37" s="3">
        <f>VLOOKUP(A37,[3]for_thesis!$B:$C,2,0)</f>
        <v>7.6308427114358798E-2</v>
      </c>
      <c r="S37" s="26">
        <f>VLOOKUP(A37,[4]ind_metrics!$A:$B,2,0)</f>
        <v>69.726618705036003</v>
      </c>
      <c r="T37" s="1">
        <f>VLOOKUP(A37,[4]ind_metrics!$A:$C,3,0)</f>
        <v>9.1685851591800899E-2</v>
      </c>
      <c r="U37" s="26">
        <f>VLOOKUP(A37,[4]ind_metrics!$A:$D,4,0)</f>
        <v>11.4553524776472</v>
      </c>
    </row>
    <row r="38" spans="1:21">
      <c r="A38" s="1">
        <v>906</v>
      </c>
      <c r="B38" s="2" t="s">
        <v>18</v>
      </c>
      <c r="C38" s="4">
        <v>0.297516</v>
      </c>
      <c r="D38" s="5">
        <v>0.68962100000000004</v>
      </c>
      <c r="E38" s="26">
        <v>29</v>
      </c>
      <c r="F38" s="6" t="s">
        <v>33</v>
      </c>
      <c r="G38" s="6" t="s">
        <v>33</v>
      </c>
      <c r="H38" s="6" t="s">
        <v>33</v>
      </c>
      <c r="I38" s="6" t="s">
        <v>33</v>
      </c>
      <c r="J38" s="6" t="s">
        <v>33</v>
      </c>
      <c r="L38" s="1">
        <f>VLOOKUP(A38,'[1]AIM database for Grad Students '!$A:$GC,185,0)</f>
        <v>36</v>
      </c>
      <c r="M38" s="26">
        <f>VLOOKUP(A38,'[2]KM_45 participants'!$A:$BF,58,0)</f>
        <v>28</v>
      </c>
      <c r="N38" s="1">
        <f>VLOOKUP(A38,'[2]KM_45 participants'!$A:$W,21,0)</f>
        <v>33</v>
      </c>
      <c r="O38" s="1">
        <f>VLOOKUP(A38,'[2]KM_45 participants'!$A:$V,22,0)</f>
        <v>29</v>
      </c>
      <c r="P38" s="1">
        <f>VLOOKUP(A38,'[2]KM_45 participants'!$A:$W,23,0)</f>
        <v>62</v>
      </c>
      <c r="R38" s="3">
        <f>VLOOKUP(A38,[3]for_thesis!$B:$C,2,0)</f>
        <v>8.9335412551551793E-2</v>
      </c>
      <c r="S38" s="26">
        <f>VLOOKUP(A38,[4]ind_metrics!$A:$B,2,0)</f>
        <v>72.287769784172696</v>
      </c>
      <c r="T38" s="1">
        <f>VLOOKUP(A38,[4]ind_metrics!$A:$C,3,0)</f>
        <v>9.2182187125999002E-2</v>
      </c>
      <c r="U38" s="26">
        <f>VLOOKUP(A38,[4]ind_metrics!$A:$D,4,0)</f>
        <v>13.4176223446657</v>
      </c>
    </row>
    <row r="39" spans="1:21">
      <c r="A39" s="1">
        <v>915</v>
      </c>
      <c r="B39" s="2" t="s">
        <v>17</v>
      </c>
      <c r="C39" s="10">
        <v>0.13800599999999999</v>
      </c>
      <c r="D39" s="11">
        <v>0.982626</v>
      </c>
      <c r="E39" s="26">
        <v>14</v>
      </c>
      <c r="F39" s="6" t="s">
        <v>33</v>
      </c>
      <c r="G39" s="6" t="s">
        <v>33</v>
      </c>
      <c r="H39" s="6" t="s">
        <v>33</v>
      </c>
      <c r="I39" s="6" t="s">
        <v>33</v>
      </c>
      <c r="J39" s="6" t="s">
        <v>33</v>
      </c>
      <c r="L39" s="1">
        <f>VLOOKUP(A39,'[1]AIM database for Grad Students '!$A:$GC,185,0)</f>
        <v>25</v>
      </c>
      <c r="M39" s="26">
        <f>VLOOKUP(A39,'[2]KM_45 participants'!$A:$BF,58,0)</f>
        <v>85</v>
      </c>
      <c r="N39" s="1">
        <f>VLOOKUP(A39,'[2]KM_45 participants'!$A:$W,21,0)</f>
        <v>33</v>
      </c>
      <c r="O39" s="1">
        <f>VLOOKUP(A39,'[2]KM_45 participants'!$A:$V,22,0)</f>
        <v>36</v>
      </c>
      <c r="P39" s="1">
        <f>VLOOKUP(A39,'[2]KM_45 participants'!$A:$W,23,0)</f>
        <v>69</v>
      </c>
      <c r="R39" s="3">
        <f>VLOOKUP(A39,[3]for_thesis!$B:$C,2,0)</f>
        <v>9.3460437603576502E-2</v>
      </c>
      <c r="S39" s="26">
        <f>VLOOKUP(A39,[4]ind_metrics!$A:$B,2,0)</f>
        <v>73.223021582733793</v>
      </c>
      <c r="T39" s="1">
        <f>VLOOKUP(A39,[4]ind_metrics!$A:$C,3,0)</f>
        <v>8.3990699485105402E-2</v>
      </c>
      <c r="U39" s="26">
        <f>VLOOKUP(A39,[4]ind_metrics!$A:$D,4,0)</f>
        <v>13.9910008268971</v>
      </c>
    </row>
    <row r="40" spans="1:21">
      <c r="A40" s="1">
        <v>916</v>
      </c>
      <c r="B40" s="2" t="s">
        <v>19</v>
      </c>
      <c r="C40" s="4">
        <v>7.3362999999999998E-2</v>
      </c>
      <c r="D40" s="5">
        <v>0.39280900000000002</v>
      </c>
      <c r="E40" s="26">
        <v>0</v>
      </c>
      <c r="F40" s="6" t="s">
        <v>32</v>
      </c>
      <c r="G40" s="6" t="s">
        <v>32</v>
      </c>
      <c r="H40" s="6" t="s">
        <v>32</v>
      </c>
      <c r="I40" s="6" t="s">
        <v>32</v>
      </c>
      <c r="J40" s="6" t="s">
        <v>32</v>
      </c>
      <c r="L40" s="1">
        <f>VLOOKUP(A40,'[1]AIM database for Grad Students '!$A:$GC,185,0)</f>
        <v>15</v>
      </c>
      <c r="M40" s="26">
        <f>VLOOKUP(A40,'[2]KM_45 participants'!$A:$BF,58,0)</f>
        <v>100</v>
      </c>
      <c r="N40" s="1">
        <f>VLOOKUP(A40,'[2]KM_45 participants'!$A:$W,21,0)</f>
        <v>37</v>
      </c>
      <c r="O40" s="1">
        <f>VLOOKUP(A40,'[2]KM_45 participants'!$A:$V,22,0)</f>
        <v>39</v>
      </c>
      <c r="P40" s="1">
        <f>VLOOKUP(A40,'[2]KM_45 participants'!$A:$W,23,0)</f>
        <v>76</v>
      </c>
      <c r="R40" s="3">
        <f>VLOOKUP(A40,[3]for_thesis!$B:$C,2,0)</f>
        <v>8.4726913020510802E-2</v>
      </c>
      <c r="S40" s="26">
        <f>VLOOKUP(A40,[4]ind_metrics!$A:$B,2,0)</f>
        <v>73.424460431654694</v>
      </c>
      <c r="T40" s="1">
        <f>VLOOKUP(A40,[4]ind_metrics!$A:$C,3,0)</f>
        <v>7.8604747684664397E-2</v>
      </c>
      <c r="U40" s="26">
        <f>VLOOKUP(A40,[4]ind_metrics!$A:$D,4,0)</f>
        <v>12.6088061760837</v>
      </c>
    </row>
    <row r="41" spans="1:21">
      <c r="A41" s="1">
        <v>918</v>
      </c>
      <c r="B41" s="2" t="s">
        <v>18</v>
      </c>
      <c r="C41" s="4">
        <v>0.34659600000000002</v>
      </c>
      <c r="D41" s="5">
        <v>1.137721</v>
      </c>
      <c r="E41" s="26">
        <v>27</v>
      </c>
      <c r="F41" s="6" t="s">
        <v>33</v>
      </c>
      <c r="G41" s="6" t="s">
        <v>33</v>
      </c>
      <c r="H41" s="6" t="s">
        <v>33</v>
      </c>
      <c r="I41" s="6" t="s">
        <v>33</v>
      </c>
      <c r="J41" s="6" t="s">
        <v>33</v>
      </c>
      <c r="L41" s="1">
        <f>VLOOKUP(A41,'[1]AIM database for Grad Students '!$A:$GC,185,0)</f>
        <v>45</v>
      </c>
      <c r="M41" s="26">
        <f>VLOOKUP(A41,'[2]KM_45 participants'!$A:$BF,58,0)</f>
        <v>50</v>
      </c>
      <c r="N41" s="1">
        <f>VLOOKUP(A41,'[2]KM_45 participants'!$A:$W,21,0)</f>
        <v>26</v>
      </c>
      <c r="O41" s="1">
        <f>VLOOKUP(A41,'[2]KM_45 participants'!$A:$V,22,0)</f>
        <v>23</v>
      </c>
      <c r="P41" s="1">
        <f>VLOOKUP(A41,'[2]KM_45 participants'!$A:$W,23,0)</f>
        <v>49</v>
      </c>
      <c r="R41" s="3">
        <f>VLOOKUP(A41,[3]for_thesis!$B:$C,2,0)</f>
        <v>7.5860104058758607E-2</v>
      </c>
      <c r="S41" s="26">
        <f>VLOOKUP(A41,[4]ind_metrics!$A:$B,2,0)</f>
        <v>73.208633093525194</v>
      </c>
      <c r="T41" s="1">
        <f>VLOOKUP(A41,[4]ind_metrics!$A:$C,3,0)</f>
        <v>6.4677381698459296E-2</v>
      </c>
      <c r="U41" s="26">
        <f>VLOOKUP(A41,[4]ind_metrics!$A:$D,4,0)</f>
        <v>11.544554464167399</v>
      </c>
    </row>
    <row r="42" spans="1:21">
      <c r="A42" s="1">
        <v>921</v>
      </c>
      <c r="B42" s="2" t="s">
        <v>19</v>
      </c>
      <c r="C42" s="4">
        <v>0.253909</v>
      </c>
      <c r="D42" s="5">
        <v>0.68464599999999998</v>
      </c>
      <c r="E42" s="26">
        <v>0</v>
      </c>
      <c r="F42" s="6" t="s">
        <v>32</v>
      </c>
      <c r="G42" s="6" t="s">
        <v>32</v>
      </c>
      <c r="H42" s="6" t="s">
        <v>32</v>
      </c>
      <c r="I42" s="6" t="s">
        <v>32</v>
      </c>
      <c r="J42" s="6" t="s">
        <v>32</v>
      </c>
      <c r="L42" s="1">
        <f>VLOOKUP(A42,'[1]AIM database for Grad Students '!$A:$GC,185,0)</f>
        <v>25</v>
      </c>
      <c r="M42" s="26">
        <f>VLOOKUP(A42,'[2]KM_45 participants'!$A:$BF,58,0)</f>
        <v>85</v>
      </c>
      <c r="N42" s="1">
        <f>VLOOKUP(A42,'[2]KM_45 participants'!$A:$W,21,0)</f>
        <v>42</v>
      </c>
      <c r="O42" s="1">
        <f>VLOOKUP(A42,'[2]KM_45 participants'!$A:$V,22,0)</f>
        <v>44</v>
      </c>
      <c r="P42" s="1">
        <f>VLOOKUP(A42,'[2]KM_45 participants'!$A:$W,23,0)</f>
        <v>86</v>
      </c>
      <c r="R42" s="3">
        <f>VLOOKUP(A42,[3]for_thesis!$B:$C,2,0)</f>
        <v>7.1998164576325199E-2</v>
      </c>
      <c r="S42" s="26">
        <f>VLOOKUP(A42,[4]ind_metrics!$A:$B,2,0)</f>
        <v>78.561151079136707</v>
      </c>
      <c r="T42" s="1">
        <f>VLOOKUP(A42,[4]ind_metrics!$A:$C,3,0)</f>
        <v>6.7532286089978397E-2</v>
      </c>
      <c r="U42" s="26">
        <f>VLOOKUP(A42,[4]ind_metrics!$A:$D,4,0)</f>
        <v>10.1655217422883</v>
      </c>
    </row>
    <row r="43" spans="1:21">
      <c r="A43" s="1">
        <v>931</v>
      </c>
      <c r="B43" s="2" t="s">
        <v>18</v>
      </c>
      <c r="C43" s="4">
        <v>8.5580000000000003E-2</v>
      </c>
      <c r="D43" s="5">
        <v>0.369058</v>
      </c>
      <c r="E43" s="26">
        <v>15</v>
      </c>
      <c r="F43" s="6" t="s">
        <v>33</v>
      </c>
      <c r="G43" s="6" t="s">
        <v>33</v>
      </c>
      <c r="H43" s="6" t="s">
        <v>33</v>
      </c>
      <c r="I43" s="6" t="s">
        <v>32</v>
      </c>
      <c r="J43" s="6" t="s">
        <v>33</v>
      </c>
      <c r="L43" s="1">
        <f>VLOOKUP(A43,'[1]AIM database for Grad Students '!$A:$GC,185,0)</f>
        <v>22</v>
      </c>
      <c r="M43" s="26">
        <f>VLOOKUP(A43,'[2]KM_45 participants'!$A:$BF,58,0)</f>
        <v>49</v>
      </c>
      <c r="N43" s="1">
        <f>VLOOKUP(A43,'[2]KM_45 participants'!$A:$W,21,0)</f>
        <v>41</v>
      </c>
      <c r="O43" s="1">
        <f>VLOOKUP(A43,'[2]KM_45 participants'!$A:$V,22,0)</f>
        <v>37</v>
      </c>
      <c r="P43" s="1">
        <f>VLOOKUP(A43,'[2]KM_45 participants'!$A:$W,23,0)</f>
        <v>78</v>
      </c>
      <c r="R43" s="3">
        <f>VLOOKUP(A43,[3]for_thesis!$B:$C,2,0)</f>
        <v>9.1632001025956505E-2</v>
      </c>
      <c r="S43" s="26">
        <f>VLOOKUP(A43,[4]ind_metrics!$A:$B,2,0)</f>
        <v>71.956834532374103</v>
      </c>
      <c r="T43" s="1">
        <f>VLOOKUP(A43,[4]ind_metrics!$A:$C,3,0)</f>
        <v>0.1071065530945</v>
      </c>
      <c r="U43" s="26">
        <f>VLOOKUP(A43,[4]ind_metrics!$A:$D,4,0)</f>
        <v>13.736848142608</v>
      </c>
    </row>
    <row r="44" spans="1:21">
      <c r="A44" s="1">
        <v>932</v>
      </c>
      <c r="B44" s="2" t="s">
        <v>17</v>
      </c>
      <c r="C44" s="4">
        <v>6.0983999999999997E-2</v>
      </c>
      <c r="D44" s="5">
        <v>0.17417299999999999</v>
      </c>
      <c r="E44" s="26">
        <v>25</v>
      </c>
      <c r="F44" s="6" t="s">
        <v>33</v>
      </c>
      <c r="G44" s="6" t="s">
        <v>33</v>
      </c>
      <c r="H44" s="6" t="s">
        <v>33</v>
      </c>
      <c r="I44" s="6" t="s">
        <v>33</v>
      </c>
      <c r="J44" s="6" t="s">
        <v>33</v>
      </c>
      <c r="L44" s="1">
        <f>VLOOKUP(A44,'[1]AIM database for Grad Students '!$A:$GC,185,0)</f>
        <v>30</v>
      </c>
      <c r="M44" s="26">
        <f>VLOOKUP(A44,'[2]KM_45 participants'!$A:$BF,58,0)</f>
        <v>92</v>
      </c>
      <c r="N44" s="1">
        <f>VLOOKUP(A44,'[2]KM_45 participants'!$A:$W,21,0)</f>
        <v>43</v>
      </c>
      <c r="O44" s="1">
        <f>VLOOKUP(A44,'[2]KM_45 participants'!$A:$V,22,0)</f>
        <v>40</v>
      </c>
      <c r="P44" s="1">
        <f>VLOOKUP(A44,'[2]KM_45 participants'!$A:$W,23,0)</f>
        <v>83</v>
      </c>
      <c r="R44" s="3">
        <f>VLOOKUP(A44,[3]for_thesis!$B:$C,2,0)</f>
        <v>0.102718397290001</v>
      </c>
      <c r="S44" s="26">
        <f>VLOOKUP(A44,[4]ind_metrics!$A:$B,2,0)</f>
        <v>70.690647482014398</v>
      </c>
      <c r="T44" s="1">
        <f>VLOOKUP(A44,[4]ind_metrics!$A:$C,3,0)</f>
        <v>0.122501317344758</v>
      </c>
      <c r="U44" s="26">
        <f>VLOOKUP(A44,[4]ind_metrics!$A:$D,4,0)</f>
        <v>15.2778572233101</v>
      </c>
    </row>
    <row r="45" spans="1:21">
      <c r="A45" s="7">
        <v>937</v>
      </c>
      <c r="B45" s="2" t="s">
        <v>19</v>
      </c>
      <c r="C45" s="4">
        <v>0.43835299999999999</v>
      </c>
      <c r="D45" s="5">
        <v>2.2931080000000001</v>
      </c>
      <c r="E45" s="27">
        <v>0</v>
      </c>
      <c r="F45" s="9" t="s">
        <v>32</v>
      </c>
      <c r="G45" s="9" t="s">
        <v>32</v>
      </c>
      <c r="H45" s="9" t="s">
        <v>32</v>
      </c>
      <c r="I45" s="9" t="s">
        <v>32</v>
      </c>
      <c r="J45" s="9" t="s">
        <v>32</v>
      </c>
      <c r="L45" s="1">
        <f>VLOOKUP(A45,'[1]AIM database for Grad Students '!$A:$GC,185,0)</f>
        <v>18</v>
      </c>
      <c r="M45" s="26">
        <f>VLOOKUP(A45,'[2]KM_45 participants'!$A:$BF,58,0)</f>
        <v>90</v>
      </c>
      <c r="N45" s="1">
        <f>VLOOKUP(A45,'[2]KM_45 participants'!$A:$W,21,0)</f>
        <v>42</v>
      </c>
      <c r="O45" s="1">
        <f>VLOOKUP(A45,'[2]KM_45 participants'!$A:$V,22,0)</f>
        <v>43</v>
      </c>
      <c r="P45" s="1">
        <f>VLOOKUP(A45,'[2]KM_45 participants'!$A:$W,23,0)</f>
        <v>85</v>
      </c>
      <c r="R45" s="3">
        <f>VLOOKUP(A45,[3]for_thesis!$B:$C,2,0)</f>
        <v>9.2567642587682894E-2</v>
      </c>
      <c r="S45" s="26">
        <f>VLOOKUP(A45,[4]ind_metrics!$A:$B,2,0)</f>
        <v>75.021582733812906</v>
      </c>
      <c r="T45" s="1">
        <f>VLOOKUP(A45,[4]ind_metrics!$A:$C,3,0)</f>
        <v>8.8726903563905196E-2</v>
      </c>
      <c r="U45" s="26">
        <f>VLOOKUP(A45,[4]ind_metrics!$A:$D,4,0)</f>
        <v>13.683098943039001</v>
      </c>
    </row>
    <row r="46" spans="1:21">
      <c r="A46" s="12">
        <v>939</v>
      </c>
      <c r="B46" s="13" t="s">
        <v>18</v>
      </c>
      <c r="C46" s="4">
        <v>0.106437</v>
      </c>
      <c r="D46" s="5">
        <v>0.99481399999999998</v>
      </c>
      <c r="E46" s="28">
        <v>21</v>
      </c>
      <c r="F46" s="12" t="s">
        <v>33</v>
      </c>
      <c r="G46" s="12" t="s">
        <v>33</v>
      </c>
      <c r="H46" s="12" t="s">
        <v>33</v>
      </c>
      <c r="I46" s="12" t="s">
        <v>33</v>
      </c>
      <c r="J46" s="12" t="s">
        <v>33</v>
      </c>
      <c r="L46" s="1">
        <f>VLOOKUP(A46,'[1]AIM database for Grad Students '!$A:$GC,185,0)</f>
        <v>0</v>
      </c>
      <c r="M46" s="26">
        <f>VLOOKUP(A46,'[2]KM_45 participants'!$A:$BF,58,0)</f>
        <v>34</v>
      </c>
      <c r="N46" s="1">
        <f>VLOOKUP(A46,'[2]KM_45 participants'!$A:$W,21,0)</f>
        <v>30</v>
      </c>
      <c r="O46" s="1">
        <f>VLOOKUP(A46,'[2]KM_45 participants'!$A:$V,22,0)</f>
        <v>17</v>
      </c>
      <c r="P46" s="1">
        <f>VLOOKUP(A46,'[2]KM_45 participants'!$A:$W,23,0)</f>
        <v>47</v>
      </c>
      <c r="R46" s="3">
        <f>VLOOKUP(A46,[3]for_thesis!$B:$C,2,0)</f>
        <v>0.10081641182348999</v>
      </c>
      <c r="S46" s="26">
        <f>VLOOKUP(A46,[4]ind_metrics!$A:$B,2,0)</f>
        <v>71.223021582733793</v>
      </c>
      <c r="T46" s="1">
        <f>VLOOKUP(A46,[4]ind_metrics!$A:$C,3,0)</f>
        <v>0.16172586470768299</v>
      </c>
      <c r="U46" s="26">
        <f>VLOOKUP(A46,[4]ind_metrics!$A:$D,4,0)</f>
        <v>15.013481243465201</v>
      </c>
    </row>
    <row r="47" spans="1:21">
      <c r="A47" s="7">
        <v>942</v>
      </c>
      <c r="B47" s="8" t="s">
        <v>17</v>
      </c>
      <c r="C47" s="4">
        <v>0.122974</v>
      </c>
      <c r="D47" s="5">
        <v>0.70203899999999997</v>
      </c>
      <c r="E47" s="27">
        <v>25</v>
      </c>
      <c r="F47" s="9" t="s">
        <v>33</v>
      </c>
      <c r="G47" s="9" t="s">
        <v>33</v>
      </c>
      <c r="H47" s="9" t="s">
        <v>33</v>
      </c>
      <c r="I47" s="9" t="s">
        <v>33</v>
      </c>
      <c r="J47" s="9" t="s">
        <v>32</v>
      </c>
      <c r="L47" s="1">
        <f>VLOOKUP(A47,'[1]AIM database for Grad Students '!$A:$GC,185,0)</f>
        <v>29</v>
      </c>
      <c r="M47" s="26">
        <f>VLOOKUP(A47,'[2]KM_45 participants'!$A:$BF,58,0)</f>
        <v>56</v>
      </c>
      <c r="N47" s="1">
        <f>VLOOKUP(A47,'[2]KM_45 participants'!$A:$W,21,0)</f>
        <v>45</v>
      </c>
      <c r="O47" s="1">
        <f>VLOOKUP(A47,'[2]KM_45 participants'!$A:$V,22,0)</f>
        <v>36</v>
      </c>
      <c r="P47" s="1">
        <f>VLOOKUP(A47,'[2]KM_45 participants'!$A:$W,23,0)</f>
        <v>81</v>
      </c>
      <c r="R47" s="3">
        <f>VLOOKUP(A47,[3]for_thesis!$B:$C,2,0)</f>
        <v>8.9241757878996297E-2</v>
      </c>
      <c r="S47" s="26">
        <f>VLOOKUP(A47,[4]ind_metrics!$A:$B,2,0)</f>
        <v>68.330935251798607</v>
      </c>
      <c r="T47" s="1">
        <f>VLOOKUP(A47,[4]ind_metrics!$A:$C,3,0)</f>
        <v>0.11382157079672001</v>
      </c>
      <c r="U47" s="26">
        <f>VLOOKUP(A47,[4]ind_metrics!$A:$D,4,0)</f>
        <v>12.8768581223277</v>
      </c>
    </row>
    <row r="48" spans="1:21">
      <c r="F48" s="6" t="s">
        <v>34</v>
      </c>
      <c r="G48" s="6" t="s">
        <v>34</v>
      </c>
      <c r="H48" s="6" t="s">
        <v>34</v>
      </c>
      <c r="I48" s="6" t="s">
        <v>34</v>
      </c>
      <c r="J48" s="6" t="s">
        <v>34</v>
      </c>
    </row>
    <row r="49" spans="1:23">
      <c r="A49" s="1">
        <f>COUNTA(A3:A47)</f>
        <v>45</v>
      </c>
      <c r="B49" s="2" t="s">
        <v>20</v>
      </c>
      <c r="C49" s="2">
        <f>AVERAGE(C3:C47)</f>
        <v>0.16974984444444441</v>
      </c>
      <c r="D49" s="2">
        <f>AVERAGE(D3:D47)</f>
        <v>0.75794826666666637</v>
      </c>
      <c r="E49" s="26">
        <f t="shared" ref="E49" si="0">AVERAGE(E3:E47)</f>
        <v>12.511111111111111</v>
      </c>
      <c r="F49" s="26" t="e">
        <f t="shared" ref="F49:Q49" si="1">AVERAGE(F3:F47)</f>
        <v>#DIV/0!</v>
      </c>
      <c r="G49" s="26" t="e">
        <f t="shared" si="1"/>
        <v>#DIV/0!</v>
      </c>
      <c r="H49" s="26" t="e">
        <f t="shared" si="1"/>
        <v>#DIV/0!</v>
      </c>
      <c r="I49" s="26" t="e">
        <f t="shared" si="1"/>
        <v>#DIV/0!</v>
      </c>
      <c r="J49" s="26" t="e">
        <f t="shared" si="1"/>
        <v>#DIV/0!</v>
      </c>
      <c r="K49" s="26" t="e">
        <f t="shared" si="1"/>
        <v>#DIV/0!</v>
      </c>
      <c r="L49" s="26">
        <f t="shared" si="1"/>
        <v>24.822222222222223</v>
      </c>
      <c r="M49" s="26">
        <f t="shared" si="1"/>
        <v>74.777777777777771</v>
      </c>
      <c r="N49" s="26">
        <f t="shared" ref="N49:O49" si="2">AVERAGE(N3:N47)</f>
        <v>37.555555555555557</v>
      </c>
      <c r="O49" s="26">
        <f t="shared" si="2"/>
        <v>35.200000000000003</v>
      </c>
      <c r="P49" s="26">
        <f t="shared" si="1"/>
        <v>72.75555555555556</v>
      </c>
      <c r="Q49" s="26" t="e">
        <f t="shared" si="1"/>
        <v>#DIV/0!</v>
      </c>
      <c r="R49" s="2">
        <f t="shared" ref="R49:U49" si="3">AVERAGE(R3:R47)</f>
        <v>9.4436884147958922E-2</v>
      </c>
      <c r="S49" s="26">
        <f t="shared" si="3"/>
        <v>74.403197442046348</v>
      </c>
      <c r="T49" s="1">
        <f t="shared" si="3"/>
        <v>9.0039572293300313E-2</v>
      </c>
      <c r="U49" s="26">
        <f t="shared" si="3"/>
        <v>14.151170082766246</v>
      </c>
      <c r="W49" s="2"/>
    </row>
    <row r="50" spans="1:23">
      <c r="B50" s="2" t="s">
        <v>21</v>
      </c>
      <c r="C50" s="2">
        <f>STDEV(C3:C47)</f>
        <v>8.8056548093193493E-2</v>
      </c>
      <c r="D50" s="2">
        <f>STDEV(D3:D47)</f>
        <v>0.45441412387322766</v>
      </c>
      <c r="E50" s="26">
        <f t="shared" ref="E50" si="4">STDEV(E3:E47)</f>
        <v>11.717551369676606</v>
      </c>
      <c r="F50" s="26" t="e">
        <f t="shared" ref="F50:Q50" si="5">STDEV(F3:F47)</f>
        <v>#DIV/0!</v>
      </c>
      <c r="G50" s="26" t="e">
        <f t="shared" si="5"/>
        <v>#DIV/0!</v>
      </c>
      <c r="H50" s="26" t="e">
        <f t="shared" si="5"/>
        <v>#DIV/0!</v>
      </c>
      <c r="I50" s="26" t="e">
        <f t="shared" si="5"/>
        <v>#DIV/0!</v>
      </c>
      <c r="J50" s="26" t="e">
        <f t="shared" si="5"/>
        <v>#DIV/0!</v>
      </c>
      <c r="K50" s="26" t="e">
        <f t="shared" si="5"/>
        <v>#DIV/0!</v>
      </c>
      <c r="L50" s="26">
        <f t="shared" si="5"/>
        <v>10.316114686364349</v>
      </c>
      <c r="M50" s="26">
        <f t="shared" si="5"/>
        <v>27.23541218281223</v>
      </c>
      <c r="N50" s="26">
        <f t="shared" ref="N50:O50" si="6">STDEV(N3:N47)</f>
        <v>7.9130374456438393</v>
      </c>
      <c r="O50" s="26">
        <f t="shared" si="6"/>
        <v>6.5421708935184455</v>
      </c>
      <c r="P50" s="26">
        <f t="shared" si="5"/>
        <v>12.96876589691127</v>
      </c>
      <c r="Q50" s="26" t="e">
        <f t="shared" si="5"/>
        <v>#DIV/0!</v>
      </c>
      <c r="R50" s="2">
        <f t="shared" ref="R50:U50" si="7">STDEV(R3:R47)</f>
        <v>5.9217719767367678E-2</v>
      </c>
      <c r="S50" s="26">
        <f t="shared" si="7"/>
        <v>9.1454269315148249</v>
      </c>
      <c r="T50" s="1">
        <f t="shared" si="7"/>
        <v>2.4836908979450508E-2</v>
      </c>
      <c r="U50" s="26">
        <f t="shared" si="7"/>
        <v>8.1195320228378929</v>
      </c>
      <c r="W50" s="2"/>
    </row>
    <row r="51" spans="1:23">
      <c r="N51" s="26"/>
      <c r="O51" s="26"/>
      <c r="R51" s="1"/>
    </row>
    <row r="52" spans="1:23">
      <c r="A52" s="1" t="s">
        <v>22</v>
      </c>
      <c r="B52" s="2" t="s">
        <v>19</v>
      </c>
      <c r="C52" s="2">
        <f>AVERAGEIF(B3:B47,"HC",C3:C47)</f>
        <v>0.16235045000000001</v>
      </c>
      <c r="D52" s="2">
        <f>AVERAGEIF($B3:$B47,"HC",D3:D47)</f>
        <v>0.75706105000000012</v>
      </c>
      <c r="E52" s="2">
        <f t="shared" ref="E52:U52" si="8">AVERAGEIF($B3:$B47,"HC",E3:E47)</f>
        <v>0.4</v>
      </c>
      <c r="F52" s="2" t="e">
        <f t="shared" si="8"/>
        <v>#DIV/0!</v>
      </c>
      <c r="G52" s="2" t="e">
        <f t="shared" si="8"/>
        <v>#DIV/0!</v>
      </c>
      <c r="H52" s="2" t="e">
        <f t="shared" si="8"/>
        <v>#DIV/0!</v>
      </c>
      <c r="I52" s="2" t="e">
        <f t="shared" si="8"/>
        <v>#DIV/0!</v>
      </c>
      <c r="J52" s="2" t="e">
        <f t="shared" si="8"/>
        <v>#DIV/0!</v>
      </c>
      <c r="K52" s="2" t="e">
        <f t="shared" si="8"/>
        <v>#DIV/0!</v>
      </c>
      <c r="L52" s="2">
        <f t="shared" si="8"/>
        <v>18.05</v>
      </c>
      <c r="M52" s="2">
        <f t="shared" si="8"/>
        <v>95.95</v>
      </c>
      <c r="N52" s="2">
        <f t="shared" ref="N52:O52" si="9">AVERAGEIF($B3:$B47,"HC",N3:N47)</f>
        <v>41.85</v>
      </c>
      <c r="O52" s="2">
        <f t="shared" si="9"/>
        <v>38.799999999999997</v>
      </c>
      <c r="P52" s="2">
        <f t="shared" si="8"/>
        <v>80.650000000000006</v>
      </c>
      <c r="Q52" s="2" t="e">
        <f t="shared" si="8"/>
        <v>#DIV/0!</v>
      </c>
      <c r="R52" s="2">
        <f t="shared" si="8"/>
        <v>0.1081927923537033</v>
      </c>
      <c r="S52" s="2">
        <f t="shared" si="8"/>
        <v>77.537410071942432</v>
      </c>
      <c r="T52" s="2">
        <f t="shared" si="8"/>
        <v>8.5533679598622986E-2</v>
      </c>
      <c r="U52" s="2">
        <f t="shared" si="8"/>
        <v>15.761824824303201</v>
      </c>
      <c r="V52" s="2"/>
      <c r="W52" s="2"/>
    </row>
    <row r="53" spans="1:23">
      <c r="A53" s="1" t="s">
        <v>22</v>
      </c>
      <c r="B53" s="2" t="s">
        <v>17</v>
      </c>
      <c r="C53" s="2">
        <f>AVERAGEIF(B3:B47,"MDD",C3:C47)</f>
        <v>0.15538357142857143</v>
      </c>
      <c r="D53" s="2">
        <f>AVERAGEIF($B3:$B47,"MDD",D3:D47)</f>
        <v>0.95566971428571423</v>
      </c>
      <c r="E53" s="2">
        <f t="shared" ref="E53:U53" si="10">AVERAGEIF($B3:$B47,"MDD",E3:E47)</f>
        <v>22.142857142857142</v>
      </c>
      <c r="F53" s="2" t="e">
        <f t="shared" si="10"/>
        <v>#DIV/0!</v>
      </c>
      <c r="G53" s="2" t="e">
        <f t="shared" si="10"/>
        <v>#DIV/0!</v>
      </c>
      <c r="H53" s="2" t="e">
        <f t="shared" si="10"/>
        <v>#DIV/0!</v>
      </c>
      <c r="I53" s="2" t="e">
        <f t="shared" si="10"/>
        <v>#DIV/0!</v>
      </c>
      <c r="J53" s="2" t="e">
        <f t="shared" si="10"/>
        <v>#DIV/0!</v>
      </c>
      <c r="K53" s="2" t="e">
        <f t="shared" si="10"/>
        <v>#DIV/0!</v>
      </c>
      <c r="L53" s="2">
        <f t="shared" si="10"/>
        <v>32</v>
      </c>
      <c r="M53" s="2">
        <f t="shared" si="10"/>
        <v>72.142857142857139</v>
      </c>
      <c r="N53" s="2">
        <f t="shared" ref="N53:O53" si="11">AVERAGEIF($B3:$B47,"MDD",N3:N47)</f>
        <v>39.428571428571431</v>
      </c>
      <c r="O53" s="2">
        <f t="shared" si="11"/>
        <v>32.428571428571431</v>
      </c>
      <c r="P53" s="2">
        <f t="shared" si="10"/>
        <v>71.857142857142861</v>
      </c>
      <c r="Q53" s="2" t="e">
        <f t="shared" si="10"/>
        <v>#DIV/0!</v>
      </c>
      <c r="R53" s="2">
        <f t="shared" si="10"/>
        <v>8.2460402067948566E-2</v>
      </c>
      <c r="S53" s="2">
        <f t="shared" si="10"/>
        <v>71.286742034943472</v>
      </c>
      <c r="T53" s="2">
        <f t="shared" si="10"/>
        <v>0.10129617293143554</v>
      </c>
      <c r="U53" s="2">
        <f t="shared" si="10"/>
        <v>13.68824018325337</v>
      </c>
      <c r="V53" s="2"/>
      <c r="W53" s="2"/>
    </row>
    <row r="54" spans="1:23">
      <c r="A54" s="1" t="s">
        <v>22</v>
      </c>
      <c r="B54" s="2" t="s">
        <v>18</v>
      </c>
      <c r="C54" s="2">
        <f>AVERAGEIF(B3:B47,"TRD",C3:C47)</f>
        <v>0.18355827777777781</v>
      </c>
      <c r="D54" s="2">
        <f>AVERAGEIF($B3:$B47,"TRD",D3:D47)</f>
        <v>0.68204238888888902</v>
      </c>
      <c r="E54" s="2">
        <f t="shared" ref="E54:U54" si="12">AVERAGEIF($B3:$B47,"TRD",E3:E47)</f>
        <v>22.222222222222221</v>
      </c>
      <c r="F54" s="2" t="e">
        <f t="shared" si="12"/>
        <v>#DIV/0!</v>
      </c>
      <c r="G54" s="2" t="e">
        <f t="shared" si="12"/>
        <v>#DIV/0!</v>
      </c>
      <c r="H54" s="2" t="e">
        <f t="shared" si="12"/>
        <v>#DIV/0!</v>
      </c>
      <c r="I54" s="2" t="e">
        <f t="shared" si="12"/>
        <v>#DIV/0!</v>
      </c>
      <c r="J54" s="2" t="e">
        <f t="shared" si="12"/>
        <v>#DIV/0!</v>
      </c>
      <c r="K54" s="2" t="e">
        <f t="shared" si="12"/>
        <v>#DIV/0!</v>
      </c>
      <c r="L54" s="2">
        <f t="shared" si="12"/>
        <v>29.555555555555557</v>
      </c>
      <c r="M54" s="2">
        <f t="shared" si="12"/>
        <v>52.277777777777779</v>
      </c>
      <c r="N54" s="2">
        <f t="shared" ref="N54:O54" si="13">AVERAGEIF($B3:$B47,"TRD",N3:N47)</f>
        <v>32.055555555555557</v>
      </c>
      <c r="O54" s="2">
        <f t="shared" si="13"/>
        <v>32.277777777777779</v>
      </c>
      <c r="P54" s="2">
        <f t="shared" si="12"/>
        <v>64.333333333333329</v>
      </c>
      <c r="Q54" s="2" t="e">
        <f t="shared" si="12"/>
        <v>#DIV/0!</v>
      </c>
      <c r="R54" s="2">
        <f t="shared" si="12"/>
        <v>8.3810062506024754E-2</v>
      </c>
      <c r="S54" s="2">
        <f t="shared" si="12"/>
        <v>72.132693844924063</v>
      </c>
      <c r="T54" s="2">
        <f t="shared" si="12"/>
        <v>9.06685528170003E-2</v>
      </c>
      <c r="U54" s="2">
        <f t="shared" si="12"/>
        <v>12.541581997535751</v>
      </c>
      <c r="V54" s="2"/>
      <c r="W54" s="2"/>
    </row>
    <row r="55" spans="1:23">
      <c r="F55" s="6" t="e">
        <f>(F49/$A$49)*100</f>
        <v>#DIV/0!</v>
      </c>
      <c r="G55" s="6" t="e">
        <f t="shared" ref="G55:J55" si="14">(G49/$A$49)*100</f>
        <v>#DIV/0!</v>
      </c>
      <c r="H55" s="6" t="e">
        <f t="shared" si="14"/>
        <v>#DIV/0!</v>
      </c>
      <c r="I55" s="6" t="e">
        <f t="shared" si="14"/>
        <v>#DIV/0!</v>
      </c>
      <c r="J55" s="6" t="e">
        <f t="shared" si="14"/>
        <v>#DIV/0!</v>
      </c>
    </row>
    <row r="56" spans="1:23">
      <c r="F56" s="1" t="s">
        <v>35</v>
      </c>
      <c r="G56" s="1" t="s">
        <v>35</v>
      </c>
      <c r="H56" s="1" t="s">
        <v>35</v>
      </c>
      <c r="I56" s="1" t="s">
        <v>35</v>
      </c>
      <c r="J56" s="1" t="s">
        <v>35</v>
      </c>
    </row>
    <row r="57" spans="1:23">
      <c r="F57" s="1">
        <f>(F51/$A$49)*100</f>
        <v>0</v>
      </c>
      <c r="G57" s="1">
        <f t="shared" ref="G57:J57" si="15">(G51/$A$49)*100</f>
        <v>0</v>
      </c>
      <c r="H57" s="1">
        <f t="shared" si="15"/>
        <v>0</v>
      </c>
      <c r="I57" s="1">
        <f t="shared" si="15"/>
        <v>0</v>
      </c>
      <c r="J57" s="1">
        <f t="shared" si="15"/>
        <v>0</v>
      </c>
    </row>
  </sheetData>
  <sortState xmlns:xlrd2="http://schemas.microsoft.com/office/spreadsheetml/2017/richdata2" ref="A2:D47">
    <sortCondition ref="A3:A47"/>
  </sortState>
  <mergeCells count="3">
    <mergeCell ref="C1:D1"/>
    <mergeCell ref="E1:P1"/>
    <mergeCell ref="R1:U1"/>
  </mergeCells>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6A5DF445824844B8BB297DC9BF64B75" ma:contentTypeVersion="15" ma:contentTypeDescription="Create a new document." ma:contentTypeScope="" ma:versionID="744ec474b2659779f08f165f47165096">
  <xsd:schema xmlns:xsd="http://www.w3.org/2001/XMLSchema" xmlns:xs="http://www.w3.org/2001/XMLSchema" xmlns:p="http://schemas.microsoft.com/office/2006/metadata/properties" xmlns:ns2="f12379f8-001f-4578-9d9f-d7bb59dbe5f2" xmlns:ns3="02f7dabf-9b8a-4e7a-bd25-159e30e385f4" targetNamespace="http://schemas.microsoft.com/office/2006/metadata/properties" ma:root="true" ma:fieldsID="be6cf91296a7edbce182a4e02ea4904f" ns2:_="" ns3:_="">
    <xsd:import namespace="f12379f8-001f-4578-9d9f-d7bb59dbe5f2"/>
    <xsd:import namespace="02f7dabf-9b8a-4e7a-bd25-159e30e385f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2379f8-001f-4578-9d9f-d7bb59dbe5f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09171c85-1afb-4cb0-9b10-1b804af732a2}" ma:internalName="TaxCatchAll" ma:showField="CatchAllData" ma:web="f12379f8-001f-4578-9d9f-d7bb59dbe5f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2f7dabf-9b8a-4e7a-bd25-159e30e385f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12379f8-001f-4578-9d9f-d7bb59dbe5f2" xsi:nil="true"/>
    <lcf76f155ced4ddcb4097134ff3c332f xmlns="02f7dabf-9b8a-4e7a-bd25-159e30e385f4">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6D3A85E-AE25-414A-9E9D-D3873084B9CD}"/>
</file>

<file path=customXml/itemProps2.xml><?xml version="1.0" encoding="utf-8"?>
<ds:datastoreItem xmlns:ds="http://schemas.openxmlformats.org/officeDocument/2006/customXml" ds:itemID="{D77BD132-D0ED-4EA5-B2DA-59B0183EAF21}"/>
</file>

<file path=customXml/itemProps3.xml><?xml version="1.0" encoding="utf-8"?>
<ds:datastoreItem xmlns:ds="http://schemas.openxmlformats.org/officeDocument/2006/customXml" ds:itemID="{5E0D98EF-6A8B-41A7-BD93-B2E40B1F241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Meeks, Kathleen</dc:creator>
  <cp:keywords/>
  <dc:description/>
  <cp:lastModifiedBy>Meeks, Kathleen</cp:lastModifiedBy>
  <cp:revision/>
  <dcterms:created xsi:type="dcterms:W3CDTF">2023-03-10T02:30:12Z</dcterms:created>
  <dcterms:modified xsi:type="dcterms:W3CDTF">2023-06-21T01:14:12Z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0x01010066A5DF445824844B8BB297DC9BF64B75</vt:lpwstr>
  </property>
  <property fmtid="{D5CDD505-2E9C-101B-9397-08002B2CF9AE}" pid="3" name="MediaServiceImageTags">
    <vt:lpwstr/>
  </property>
</Properties>
</file>